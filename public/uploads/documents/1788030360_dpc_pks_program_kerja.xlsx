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ngopipanmas\_document_project\"/>
    </mc:Choice>
  </mc:AlternateContent>
  <xr:revisionPtr revIDLastSave="0" documentId="8_{DEF5D381-F5B1-4D77-A271-E64D16CF8712}" xr6:coauthVersionLast="47" xr6:coauthVersionMax="47" xr10:uidLastSave="{00000000-0000-0000-0000-000000000000}"/>
  <bookViews>
    <workbookView xWindow="4920" yWindow="4920" windowWidth="21600" windowHeight="11385" tabRatio="500" activeTab="2" xr2:uid="{00000000-000D-0000-FFFF-FFFF00000000}"/>
  </bookViews>
  <sheets>
    <sheet name="Struktur DPC" sheetId="5" r:id="rId1"/>
    <sheet name="Matriks Bidang &amp; Program" sheetId="1" r:id="rId2"/>
    <sheet name="Prioritas Pembinaan-Rekrutmen" sheetId="2" r:id="rId3"/>
    <sheet name="RAB Program Priorita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3" l="1"/>
  <c r="E26" i="3"/>
  <c r="E21" i="3"/>
  <c r="E13" i="3"/>
  <c r="E31" i="3" s="1"/>
</calcChain>
</file>

<file path=xl/sharedStrings.xml><?xml version="1.0" encoding="utf-8"?>
<sst xmlns="http://schemas.openxmlformats.org/spreadsheetml/2006/main" count="351" uniqueCount="230">
  <si>
    <t>MATRIKS PROGRAM KERJA BIDANG - DPC PKS</t>
  </si>
  <si>
    <t>No</t>
  </si>
  <si>
    <t>Bidang</t>
  </si>
  <si>
    <t>PIC</t>
  </si>
  <si>
    <t>Fokus</t>
  </si>
  <si>
    <t>Program Kerja</t>
  </si>
  <si>
    <t>Link &amp; Match</t>
  </si>
  <si>
    <t>KPI</t>
  </si>
  <si>
    <t>Monev</t>
  </si>
  <si>
    <t>Reward</t>
  </si>
  <si>
    <t>SKAP – Kaderisasi Anggota Partai</t>
  </si>
  <si>
    <t>Agung Hajandono, SE</t>
  </si>
  <si>
    <t>Penguatan kaderisasi &amp; kualitas UPA (UPA naik level)</t>
  </si>
  <si>
    <t>1. SAKTI DPC (kelas kader/upgrade) per triwulan
2. Training Pembina UPA (materi, metode, evaluasi) 2x/semester
3. Talent Pool Kader (kader siap peran strategis) update per semester</t>
  </si>
  <si>
    <t>Potensi kader (skill/minat) ↔ kebutuhan peran wilayah (RT/RW/DKM/LPM/komunitas) ↔ penugasan via DPRa + dukungan Aleg</t>
  </si>
  <si>
    <t>- % UPA melakukan evaluasi rutin (target: ≥70%)
- Pelatihan kader/UPA (target: 4–6/tahun)
- Kader masuk peran strategis (target disepakati per kelurahan)</t>
  </si>
  <si>
    <t>Rapat evaluasi UPA bulanan + rekap progres per triwulan</t>
  </si>
  <si>
    <t>UPA Terbaik &amp; UPA Most Improved per semester</t>
  </si>
  <si>
    <t>SPUKB – Pembinaan Umat &amp; Kerukunan Beragama</t>
  </si>
  <si>
    <t>H. Ibnu Nugroho Qomardjati</t>
  </si>
  <si>
    <t>Jejaring tokoh/masjid + harmonisasi umat sebagai penguat lintas program</t>
  </si>
  <si>
    <t>1. JARING UMAT (Safari silaturahim tokoh/masjid) 2–3 titik/bulan
2. Forum Harmoni Umat (tematik) tiap 2 bulan
3. Jalur Cepat Serap Aspirasi (nyambung Bank Isu) berjalan</t>
  </si>
  <si>
    <t>Simpul umat (tokoh/masjid/majelis) ↔ kebutuhan program DPC (RKI, AKAR, Join PKS, GEMA) ↔ kader/UPA pelaksana</t>
  </si>
  <si>
    <t>- Tokoh/simpul aktif terdata (target: ≥50)
- Forum/kolaborasi kegiatan (target: ≥6 forum &amp; ≥12 kolaborasi)
- Isu masuk &amp; % ditindaklanjuti (target: ≥60% follow-up)</t>
  </si>
  <si>
    <t>Koordinasi bulanan dengan KOMDIGI (bank isu &amp; publikasi) + laporan ringkas kegiatan</t>
  </si>
  <si>
    <t>Simpul Umat Kolaboratif Terbaik per semester</t>
  </si>
  <si>
    <t>SPPM – Pemuda, Pelajar &amp; Mahasiswa</t>
  </si>
  <si>
    <t>Khoirul Umam, S.Pd, M.T</t>
  </si>
  <si>
    <t>Rekrutmen &amp; pembinaan pemuda berbasis komunitas (Join PKS)</t>
  </si>
  <si>
    <t>1. Komunitas Skill Pemuda (konten, public speaking, leadership, volunteer) 1 event/bulan
2. UPA Muda (follow-up peserta → circle → UPA) minimal 1 gelombang/semester
3. Aksi Sosial Pemuda (kolaborasi lintas seksi) per triwulan</t>
  </si>
  <si>
    <t>Minat pemuda ↔ komunitas/isu warga ↔ program layanan (AKAR/RKI/GEMA) ↔ pembinaan lanjutan SKAP</t>
  </si>
  <si>
    <t>- Peserta baru masuk funnel (target: ≥200/tahun)
- Follow-up jadi circle/UPA muda (target: ≥3–6 circle)
- Kader muda aktif jadi panitia/penggerak (target disepakati)</t>
  </si>
  <si>
    <t>Evaluasi bulanan funnel (datang–follow-up–aktif) bareng KOMDIGI &amp; SKAP</t>
  </si>
  <si>
    <t>Komunitas Pemuda Teraktif per semester</t>
  </si>
  <si>
    <t>SUMKraf – UMKM, Ekonomi Kreatif &amp; Kader</t>
  </si>
  <si>
    <t>Nasrul, S.Si</t>
  </si>
  <si>
    <t>Ekonomi mandiri kader &amp; UMKM naik kelas (GEMA)</t>
  </si>
  <si>
    <t>1. Pendataan UMKM &amp; Kebutuhan Kerja (database) update triwulan
2. UMKM Naik Kelas (mentoring batch) 3 batch/tahun
3. Market Day/Bazaar + kelas branding (bareng KOMDIGI) per triwulan</t>
  </si>
  <si>
    <t>UMKM/pencari kerja ↔ pelatihan/mentor ↔ pasar/komunitas ↔ simpul masjid/RW (SPUKB)</t>
  </si>
  <si>
    <t>- UMKM terdata &amp; aktif ikut program (target: ≥50 terdata; ≥20 aktif)
- Batch mentoring (target: 3)
- Kolaborasi penjualan/event (target: ≥4)</t>
  </si>
  <si>
    <t>Rekap triwulan (omzet/kemajuan self-report + kendala)</t>
  </si>
  <si>
    <t>UMKM Terinovatif &amp; UMKM Terkonsisten per semester</t>
  </si>
  <si>
    <t>SP3 – Pemenangan Pemilu &amp; Pilkada</t>
  </si>
  <si>
    <t>Faisal Hakim</t>
  </si>
  <si>
    <t>JAWARA: pemetaan basis, relawan, konsolidasi pemenangan (rapi &amp; data-driven)</t>
  </si>
  <si>
    <t>1. Peta Basis per kelurahan/RT-RW (update triwulan)
2. Konsolidasi Relawan/Saksi 2–3x/tahun
3. Aktivasi Basis lewat layanan warga (sinkron AKAR/RKI/GEMA) bulanan</t>
  </si>
  <si>
    <t>Basis wilayah DPRa ↔ isu &amp; layanan (AKAR/RKI/GEMA) ↔ penguatan simpul relawan ↔ dukungan Aleg</t>
  </si>
  <si>
    <t>- % basis prioritas terdata &amp; update (target: ≥80% area prioritas)
- Relawan aktif (target disepakati)
- Kegiatan konsolidasi (target: 2–3)</t>
  </si>
  <si>
    <t>Evaluasi triwulan data basis + progres relawan (bareng KOMDIGI)</t>
  </si>
  <si>
    <t>DPRa Paling Rapi Data &amp; Relawan Teladan per semester</t>
  </si>
  <si>
    <t>SKBN – Kepanduan &amp; Bela Negara</t>
  </si>
  <si>
    <t>Munawir Sajali</t>
  </si>
  <si>
    <t>API: kepemimpinan lapangan, disiplin kader, kesiapsiagaan kegiatan</t>
  </si>
  <si>
    <t>1. Leadership Camp 2 gelombang/tahun
2. Pelatihan Kedisiplinan Panitia &amp; Protokoler Lapangan per triwulan
3. Tim Kesiapsiagaan Kegiatan (SOP event) berjalan</t>
  </si>
  <si>
    <t>Kader potensial (SKAP/SPPM/BIPEKA) ↔ kebutuhan koordinator kegiatan/relawan ↔ penugasan di program DPC</t>
  </si>
  <si>
    <t>- Peserta lulus camp (target disepakati)
- Kegiatan yang pakai SOP &amp; tim lapangan (target: ≥70% event besar)
- Kader siap jadi koor lapangan (target disepakati)</t>
  </si>
  <si>
    <t>Evaluasi pasca-kegiatan (AAR: after action review) + rekap per triwulan</t>
  </si>
  <si>
    <t>Kader Teladan Kepemimpinan Lapangan per semester</t>
  </si>
  <si>
    <t>SPPN – Petani, Peternak &amp; Nelayan</t>
  </si>
  <si>
    <t>Suroto</t>
  </si>
  <si>
    <t>Ketahanan pangan &amp; basis komunitas produktif (PANGAN TANGGUH)</t>
  </si>
  <si>
    <t>1. Demoplot Urban Farming (3 titik/tahun)
2. Kelas Pangan Tangguh (tanam mudah/kompos/olahan) bulanan
3. Pangan Murah/Berkah (kolaborasi SUMKraf–SPUKB–KOMDIGI) bulanan/2 bulanan</t>
  </si>
  <si>
    <t>Warga butuh pangan ↔ UMKM pangan ↔ relawan komunitas ↔ venue masjid/RW</t>
  </si>
  <si>
    <t>- Demoplot aktif (target: ≥3)
- Kegiatan pangan murah/berkah (target: 6–12)
- Relawan aktif &amp; penerima manfaat (target disepakati)</t>
  </si>
  <si>
    <t>Monitoring tiap kegiatan + evaluasi triwulan demoplot/relawan</t>
  </si>
  <si>
    <t>Komunitas Pangan Teraktif &amp; Relawan Pangan Teladan per semester</t>
  </si>
  <si>
    <t>BIPEKA – Perempuan &amp; Keluarga</t>
  </si>
  <si>
    <t>Kartika Sari, S.Pd.I</t>
  </si>
  <si>
    <t>RKI: ketahanan keluarga kader &amp; layanan keluarga warga</t>
  </si>
  <si>
    <t>1. SELARAS/Parenting Class per triwulan
2. Konseling/pendampingan keluarga ringan terjadwal (bulanan)
3. Forum Perempuan Berdaya (skill + keluarga) per semester</t>
  </si>
  <si>
    <t>Kebutuhan keluarga ↔ narasumber (SPdK/SPUKB) ↔ venue komunitas ↔ follow-up via UPA/DPRa</t>
  </si>
  <si>
    <t>- Kelas keluarga (target: 4–6)
- Keluarga terlayani/terdampingi (target disepakati)
- Konten edukasi keluarga (bareng KOMDIGI) (target: 12/tahun)</t>
  </si>
  <si>
    <t>Evaluasi setelah tiap kelas + rekap semester dampingan</t>
  </si>
  <si>
    <t>Keluarga Teladan / UPA Ramah Keluarga per semester</t>
  </si>
  <si>
    <t>KOMDIGI – Komunikasi &amp; Digital</t>
  </si>
  <si>
    <t>Efaningsih, A.Md</t>
  </si>
  <si>
    <t>TOTAL-PKS (data &amp; laporan) + AKAR (bank isu &amp; publikasi advokasi)</t>
  </si>
  <si>
    <t>1. TOTAL-PKS Lite: template database &amp; laporan DPC–DPRa–UPA (implementasi) 1–2 bulan pertama
2. Dashboard Progres (program, isu, kegiatan) update bulanan
3. AKAR: Bank Isu Warga + publikasi “Update Solusi Warga” minimal 1 konten/bulan</t>
  </si>
  <si>
    <t>Input DPRa/UPA ↔ pengolahan data DPC ↔ tindak lanjut Aleg/seksi terkait ↔ publikasi yang menyejukkan &amp; solutif</t>
  </si>
  <si>
    <t>- % DPRa/UPA tertib laporan (target: ≥70%)
- Isu masuk &amp; % follow-up (target disepakati; ≥60% follow-up)
- Konten rutin (target: ≥12/tahun)</t>
  </si>
  <si>
    <t>Rapat data bulanan (15–30 menit) + audit kerapihan dokumen per triwulan</t>
  </si>
  <si>
    <t>DPRa/UPA Paling Tertib Data per semester</t>
  </si>
  <si>
    <t>SPdK – Pendidikan &amp; Kesehatan</t>
  </si>
  <si>
    <t>Juati Nurmalasari, M.Pd</t>
  </si>
  <si>
    <t>Penguatan layanan pendidikan &amp; kesehatan sebagai wajah pelayanan DPC (sinkron RKI &amp; AKAR)</t>
  </si>
  <si>
    <t>1. Bimbel/kelas belajar (anak–remaja) per semester (batch)
2. Kelas kesehatan keluarga (gizi, pola hidup sehat, kesehatan ibu-anak) per triwulan
3. Layanan cek kesehatan sederhana (kolaborasi relawan/mitra) 2–4x/tahun</t>
  </si>
  <si>
    <t>Kebutuhan warga ↔ relawan/mitra (sekolah, puskesmas, tenaga kesehatan) ↔ venue masjid/RW ↔ publikasi KOMDIGI ↔ follow-up UPA/DPRa</t>
  </si>
  <si>
    <t>- Peserta bimbel/kelas (target disepakati)
- Kegiatan kesehatan (target: 4–8/tahun)
- Mitra aktif (target: ≥5)</t>
  </si>
  <si>
    <t>Evaluasi tiap batch + rekap triwulan layanan</t>
  </si>
  <si>
    <t>Relawan Pendidikan/Kesehatan Teladan per semester</t>
  </si>
  <si>
    <t>PRIORITAS PEMBINAAN, JEJARING &amp; REKRUTMEN</t>
  </si>
  <si>
    <t>Program</t>
  </si>
  <si>
    <t>Bidang (PIC)</t>
  </si>
  <si>
    <t>Frekuensi</t>
  </si>
  <si>
    <t>Silaturahmi Ormas Islam &amp; Non-Islam</t>
  </si>
  <si>
    <t>SPUKB</t>
  </si>
  <si>
    <t>2x/tahun</t>
  </si>
  <si>
    <t>≥10 simpul + ≥3 kolaborasi</t>
  </si>
  <si>
    <t>Silaturahmi Tokoh Masyarakat</t>
  </si>
  <si>
    <t>≥20 tokoh + ≥6 simpul kolaborasi</t>
  </si>
  <si>
    <t>“Gereget” Rekrutmen &amp; Penguatan Anggota</t>
  </si>
  <si>
    <t>SKAP</t>
  </si>
  <si>
    <t>Sepanjang tahun</t>
  </si>
  <si>
    <t>Target anggota baru (pleno) + follow-up ≥70%</t>
  </si>
  <si>
    <t>Training Pembina UPA</t>
  </si>
  <si>
    <t>15–30 pembina (pleno) + ≥70% UPA punya pembina terlatih</t>
  </si>
  <si>
    <t>IKADI / Daurah Khutoba</t>
  </si>
  <si>
    <t>1x/tahun</t>
  </si>
  <si>
    <t>Pool da’i siap khutbah (pleno)</t>
  </si>
  <si>
    <t>Konsultan Keluarga</t>
  </si>
  <si>
    <t>BIPEKA</t>
  </si>
  <si>
    <t>2x/bulan</t>
  </si>
  <si>
    <t>≥24 sesi/tahun, ≥50 keluarga, kepuasan ≥80%</t>
  </si>
  <si>
    <t>Sekolah Pra Nikah</t>
  </si>
  <si>
    <t>≥40 peserta, ≥70% lulus, follow-up group</t>
  </si>
  <si>
    <t>RAB PROGRAM PRIORITAS</t>
  </si>
  <si>
    <t>Seluruh nominal dalam Rupiah (Rp). Baris bertanda * bernilai Rp0 karena RAB masih menyusul; tidak termasuk dalam subtotal/total.</t>
  </si>
  <si>
    <t>Waktu/Frekuensi</t>
  </si>
  <si>
    <t>Anggaran (Rp)</t>
  </si>
  <si>
    <t>Keterangan</t>
  </si>
  <si>
    <t>KOMDIGI</t>
  </si>
  <si>
    <t>Sekolah Digital 9x</t>
  </si>
  <si>
    <t>Apr–Des</t>
  </si>
  <si>
    <t>Liputan video kegiatan 20x</t>
  </si>
  <si>
    <t>Mar–Des</t>
  </si>
  <si>
    <t>Flyer hari besar 9x</t>
  </si>
  <si>
    <t>-</t>
  </si>
  <si>
    <t>Press release kegiatan besar 9x</t>
  </si>
  <si>
    <t>Konten isu trending 9x</t>
  </si>
  <si>
    <t>Podcast 4x</t>
  </si>
  <si>
    <t>Lomba video promosi produk</t>
  </si>
  <si>
    <t>Agustus</t>
  </si>
  <si>
    <t>Konten kreatif campaign 5x</t>
  </si>
  <si>
    <t>Total KOMDIGI</t>
  </si>
  <si>
    <t>SPdK</t>
  </si>
  <si>
    <t>Bimbel</t>
  </si>
  <si>
    <t>Apr–Mei, Juni</t>
  </si>
  <si>
    <t>Parenting 2x</t>
  </si>
  <si>
    <t>Beasiswa 10 siswa</t>
  </si>
  <si>
    <t>Pelayanan kesehatan 6 titik</t>
  </si>
  <si>
    <t>Senam 6 titik</t>
  </si>
  <si>
    <t>Donor darah 2x</t>
  </si>
  <si>
    <t>Pendamping BPJS 200 kader</t>
  </si>
  <si>
    <t>Total SPdK</t>
  </si>
  <si>
    <t>SUMKraf</t>
  </si>
  <si>
    <t>Warung Siape Aje</t>
  </si>
  <si>
    <t>Pendataan UMKM</t>
  </si>
  <si>
    <t>RAB menyusul*</t>
  </si>
  <si>
    <t>UMKM Naik Kelas + Mentoring 3x</t>
  </si>
  <si>
    <t>Market Day 4x</t>
  </si>
  <si>
    <t>Total SUMKraf</t>
  </si>
  <si>
    <t>SP3</t>
  </si>
  <si>
    <t>Pemetaan Basis</t>
  </si>
  <si>
    <t>Mar–Mei</t>
  </si>
  <si>
    <t>Konsolidasi Relawan</t>
  </si>
  <si>
    <t>Aktivasi Basis lewat layanan warga</t>
  </si>
  <si>
    <t>Total SP3</t>
  </si>
  <si>
    <t>TOTAL KESELURUHAN</t>
  </si>
  <si>
    <t>Struktur DPC - DPRa PKS Panmas 2025</t>
  </si>
  <si>
    <t>Nama</t>
  </si>
  <si>
    <t>Institusi</t>
  </si>
  <si>
    <t>Jabatan</t>
  </si>
  <si>
    <t>Ilham</t>
  </si>
  <si>
    <t>DPC</t>
  </si>
  <si>
    <t>Ketua</t>
  </si>
  <si>
    <t>Verdian</t>
  </si>
  <si>
    <t>Sekretaris</t>
  </si>
  <si>
    <t>M Faisal Hakim</t>
  </si>
  <si>
    <t>Wk Sekretaris 1</t>
  </si>
  <si>
    <t>Asep</t>
  </si>
  <si>
    <t>Wk Sekretaris 2</t>
  </si>
  <si>
    <t>Reza</t>
  </si>
  <si>
    <t>Bendahara</t>
  </si>
  <si>
    <t>Rahmat</t>
  </si>
  <si>
    <t>Wk Bendahara 1</t>
  </si>
  <si>
    <t>Ali</t>
  </si>
  <si>
    <t>Wk Bendahara 2</t>
  </si>
  <si>
    <t>A Hajandono</t>
  </si>
  <si>
    <t>SKAP (Kaderisari Anggota Partai)</t>
  </si>
  <si>
    <t>Kartika Sari</t>
  </si>
  <si>
    <t xml:space="preserve">BIPEKA (Perempuan dan Keluarga)  </t>
  </si>
  <si>
    <t>SKBN (Kepanduan dan Bela Negara)</t>
  </si>
  <si>
    <t>SP3 (Pemenangan Pemilu dan Pilkada)</t>
  </si>
  <si>
    <t>Sayid Nouval</t>
  </si>
  <si>
    <t>SPPM (Pemuda Pelajar dan Mahasiswa)</t>
  </si>
  <si>
    <t>Efaningsih</t>
  </si>
  <si>
    <t>KOMDIGI (Komunikasi dan Digital)</t>
  </si>
  <si>
    <t>Juarti</t>
  </si>
  <si>
    <t>SPdK  (Pendidikan dan Kesehatan)</t>
  </si>
  <si>
    <t>Nasrul</t>
  </si>
  <si>
    <t>SUMKraf (UMKM, Ekonomi Kreatif &amp; Kader)</t>
  </si>
  <si>
    <t>Ibnu Nugroho</t>
  </si>
  <si>
    <t>SPUKB (Pembinaan Umat dan Kerukanan Beragama)</t>
  </si>
  <si>
    <t>SPPN (Petani Peternak dan Nelayan)</t>
  </si>
  <si>
    <t>Syamsul Ma’arif</t>
  </si>
  <si>
    <t>DPRa Depok</t>
  </si>
  <si>
    <t>Nur Rahman Shalahudin</t>
  </si>
  <si>
    <t>Yus Rizal Sukarno</t>
  </si>
  <si>
    <t>Siti Nuroniah</t>
  </si>
  <si>
    <t>UPKK</t>
  </si>
  <si>
    <t>Ridwan</t>
  </si>
  <si>
    <t>Kaderisasi</t>
  </si>
  <si>
    <t>Dewa Anggara Hadi</t>
  </si>
  <si>
    <t>DPRa Depok Jaya</t>
  </si>
  <si>
    <t>Suhendi</t>
  </si>
  <si>
    <t>Totok Rusmanto</t>
  </si>
  <si>
    <t>Ismanita</t>
  </si>
  <si>
    <t>Hanief Al Ikhlas</t>
  </si>
  <si>
    <t>Mardi</t>
  </si>
  <si>
    <t>DPRa Panmas</t>
  </si>
  <si>
    <t>Winarto</t>
  </si>
  <si>
    <t>Salman Al Farisi</t>
  </si>
  <si>
    <t>Dwi Setyo Rini</t>
  </si>
  <si>
    <t>Krisna</t>
  </si>
  <si>
    <t>Hermanto</t>
  </si>
  <si>
    <t>DPRa Mampang</t>
  </si>
  <si>
    <t>Ismail</t>
  </si>
  <si>
    <t>Amigos</t>
  </si>
  <si>
    <t>Kartini</t>
  </si>
  <si>
    <t>A Hidayat</t>
  </si>
  <si>
    <t>Zulkarnaen</t>
  </si>
  <si>
    <t>DPRa Panja</t>
  </si>
  <si>
    <t>Hisyam Sanusi</t>
  </si>
  <si>
    <t xml:space="preserve">Andriyani </t>
  </si>
  <si>
    <t>Haliluloh</t>
  </si>
  <si>
    <t>DPRa Panjaru</t>
  </si>
  <si>
    <t>Rosian Novianto</t>
  </si>
  <si>
    <t>Khairul Rakhman</t>
  </si>
  <si>
    <t>Kholilah</t>
  </si>
  <si>
    <t>Muhammad 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</si>
</sst>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sz val="11"/>
      <color theme="1"/>
      <name val="Poppins"/>
    </font>
    <font>
      <b/>
      <sz val="11"/>
      <color rgb="FF000000"/>
      <name val="Poppins"/>
    </font>
    <font>
      <b/>
      <sz val="20"/>
      <color theme="1"/>
      <name val="Poppins"/>
    </font>
    <font>
      <sz val="11"/>
      <name val="Calibri"/>
      <family val="2"/>
    </font>
    <font>
      <b/>
      <sz val="11"/>
      <color theme="0"/>
      <name val="Poppins"/>
    </font>
    <font>
      <sz val="10"/>
      <color theme="1"/>
      <name val="Poppins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4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/>
    </xf>
    <xf numFmtId="0" fontId="0" fillId="3" borderId="1" xfId="0" applyFill="1" applyBorder="1"/>
    <xf numFmtId="164" fontId="5" fillId="3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4" fontId="2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horizontal="left"/>
    </xf>
    <xf numFmtId="0" fontId="9" fillId="0" borderId="0" xfId="0" applyFont="1"/>
    <xf numFmtId="0" fontId="10" fillId="5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righ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7" borderId="2" xfId="0" applyFont="1" applyFill="1" applyBorder="1" applyAlignment="1">
      <alignment horizontal="right" vertical="center" wrapText="1" readingOrder="1"/>
    </xf>
    <xf numFmtId="0" fontId="6" fillId="7" borderId="2" xfId="0" applyFont="1" applyFill="1" applyBorder="1" applyAlignment="1">
      <alignment horizontal="left" vertical="center" wrapText="1" readingOrder="1"/>
    </xf>
    <xf numFmtId="0" fontId="11" fillId="7" borderId="2" xfId="0" applyFont="1" applyFill="1" applyBorder="1" applyAlignment="1">
      <alignment horizontal="left" vertical="center" wrapText="1" readingOrder="1"/>
    </xf>
    <xf numFmtId="0" fontId="6" fillId="8" borderId="2" xfId="0" applyFont="1" applyFill="1" applyBorder="1" applyAlignment="1">
      <alignment horizontal="right" vertical="center" wrapText="1" readingOrder="1"/>
    </xf>
    <xf numFmtId="0" fontId="6" fillId="8" borderId="2" xfId="0" applyFont="1" applyFill="1" applyBorder="1" applyAlignment="1">
      <alignment horizontal="left" vertical="center" wrapText="1" readingOrder="1"/>
    </xf>
    <xf numFmtId="0" fontId="11" fillId="8" borderId="2" xfId="0" applyFont="1" applyFill="1" applyBorder="1" applyAlignment="1">
      <alignment horizontal="left" vertical="center" wrapText="1" readingOrder="1"/>
    </xf>
    <xf numFmtId="0" fontId="6" fillId="9" borderId="2" xfId="0" applyFont="1" applyFill="1" applyBorder="1" applyAlignment="1">
      <alignment horizontal="right" vertical="center" wrapText="1" readingOrder="1"/>
    </xf>
    <xf numFmtId="0" fontId="6" fillId="9" borderId="2" xfId="0" applyFont="1" applyFill="1" applyBorder="1" applyAlignment="1">
      <alignment horizontal="left" vertical="center" wrapText="1" readingOrder="1"/>
    </xf>
    <xf numFmtId="0" fontId="11" fillId="9" borderId="2" xfId="0" applyFont="1" applyFill="1" applyBorder="1" applyAlignment="1">
      <alignment horizontal="left" vertical="center" wrapText="1" readingOrder="1"/>
    </xf>
    <xf numFmtId="0" fontId="6" fillId="10" borderId="2" xfId="0" applyFont="1" applyFill="1" applyBorder="1" applyAlignment="1">
      <alignment horizontal="right" vertical="center" wrapText="1" readingOrder="1"/>
    </xf>
    <xf numFmtId="0" fontId="6" fillId="10" borderId="2" xfId="0" applyFont="1" applyFill="1" applyBorder="1" applyAlignment="1">
      <alignment horizontal="left" vertical="center" wrapText="1" readingOrder="1"/>
    </xf>
    <xf numFmtId="0" fontId="11" fillId="10" borderId="2" xfId="0" applyFont="1" applyFill="1" applyBorder="1" applyAlignment="1">
      <alignment horizontal="left" vertical="center" wrapText="1" readingOrder="1"/>
    </xf>
    <xf numFmtId="0" fontId="6" fillId="11" borderId="2" xfId="0" applyFont="1" applyFill="1" applyBorder="1" applyAlignment="1">
      <alignment horizontal="right" vertical="center" wrapText="1" readingOrder="1"/>
    </xf>
    <xf numFmtId="0" fontId="6" fillId="11" borderId="2" xfId="0" applyFont="1" applyFill="1" applyBorder="1" applyAlignment="1">
      <alignment horizontal="left" vertical="center" wrapText="1" readingOrder="1"/>
    </xf>
    <xf numFmtId="0" fontId="11" fillId="11" borderId="2" xfId="0" applyFont="1" applyFill="1" applyBorder="1" applyAlignment="1">
      <alignment horizontal="left" vertical="center" wrapText="1" readingOrder="1"/>
    </xf>
    <xf numFmtId="0" fontId="6" fillId="12" borderId="2" xfId="0" applyFont="1" applyFill="1" applyBorder="1" applyAlignment="1">
      <alignment horizontal="right" vertical="center" wrapText="1" readingOrder="1"/>
    </xf>
    <xf numFmtId="0" fontId="6" fillId="12" borderId="2" xfId="0" applyFont="1" applyFill="1" applyBorder="1" applyAlignment="1">
      <alignment horizontal="left" vertical="center" wrapText="1" readingOrder="1"/>
    </xf>
    <xf numFmtId="0" fontId="6" fillId="1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84C3-E980-4DD8-B2E9-7473D587275C}">
  <dimension ref="A1:D49"/>
  <sheetViews>
    <sheetView workbookViewId="0">
      <selection activeCell="I13" sqref="I13"/>
    </sheetView>
  </sheetViews>
  <sheetFormatPr defaultRowHeight="15" x14ac:dyDescent="0.25"/>
  <cols>
    <col min="2" max="2" width="40.140625" customWidth="1"/>
    <col min="3" max="3" width="41.85546875" customWidth="1"/>
    <col min="4" max="4" width="48" customWidth="1"/>
  </cols>
  <sheetData>
    <row r="1" spans="1:4" ht="39.75" x14ac:dyDescent="1.1000000000000001">
      <c r="A1" s="14" t="s">
        <v>158</v>
      </c>
      <c r="B1" s="15"/>
      <c r="C1" s="15"/>
      <c r="D1" s="15"/>
    </row>
    <row r="2" spans="1:4" ht="21.75" x14ac:dyDescent="0.25">
      <c r="A2" s="16" t="s">
        <v>1</v>
      </c>
      <c r="B2" s="16" t="s">
        <v>159</v>
      </c>
      <c r="C2" s="16" t="s">
        <v>160</v>
      </c>
      <c r="D2" s="16" t="s">
        <v>161</v>
      </c>
    </row>
    <row r="3" spans="1:4" ht="21.75" x14ac:dyDescent="0.25">
      <c r="A3" s="17">
        <v>1</v>
      </c>
      <c r="B3" s="18" t="s">
        <v>162</v>
      </c>
      <c r="C3" s="18" t="s">
        <v>163</v>
      </c>
      <c r="D3" s="18" t="s">
        <v>164</v>
      </c>
    </row>
    <row r="4" spans="1:4" ht="21.75" x14ac:dyDescent="0.25">
      <c r="A4" s="17">
        <v>2</v>
      </c>
      <c r="B4" s="18" t="s">
        <v>165</v>
      </c>
      <c r="C4" s="18" t="s">
        <v>163</v>
      </c>
      <c r="D4" s="18" t="s">
        <v>166</v>
      </c>
    </row>
    <row r="5" spans="1:4" ht="21.75" x14ac:dyDescent="0.25">
      <c r="A5" s="17">
        <v>3</v>
      </c>
      <c r="B5" s="18" t="s">
        <v>167</v>
      </c>
      <c r="C5" s="18" t="s">
        <v>163</v>
      </c>
      <c r="D5" s="18" t="s">
        <v>168</v>
      </c>
    </row>
    <row r="6" spans="1:4" ht="21.75" x14ac:dyDescent="0.25">
      <c r="A6" s="17">
        <v>4</v>
      </c>
      <c r="B6" s="18" t="s">
        <v>169</v>
      </c>
      <c r="C6" s="18" t="s">
        <v>163</v>
      </c>
      <c r="D6" s="18" t="s">
        <v>170</v>
      </c>
    </row>
    <row r="7" spans="1:4" ht="21.75" x14ac:dyDescent="0.25">
      <c r="A7" s="17">
        <v>5</v>
      </c>
      <c r="B7" s="18" t="s">
        <v>171</v>
      </c>
      <c r="C7" s="18" t="s">
        <v>163</v>
      </c>
      <c r="D7" s="18" t="s">
        <v>172</v>
      </c>
    </row>
    <row r="8" spans="1:4" ht="21.75" x14ac:dyDescent="0.25">
      <c r="A8" s="17">
        <v>6</v>
      </c>
      <c r="B8" s="18" t="s">
        <v>173</v>
      </c>
      <c r="C8" s="18" t="s">
        <v>163</v>
      </c>
      <c r="D8" s="18" t="s">
        <v>174</v>
      </c>
    </row>
    <row r="9" spans="1:4" ht="21.75" x14ac:dyDescent="0.25">
      <c r="A9" s="17">
        <v>7</v>
      </c>
      <c r="B9" s="18" t="s">
        <v>175</v>
      </c>
      <c r="C9" s="18" t="s">
        <v>163</v>
      </c>
      <c r="D9" s="18" t="s">
        <v>176</v>
      </c>
    </row>
    <row r="10" spans="1:4" ht="21.75" x14ac:dyDescent="0.25">
      <c r="A10" s="17">
        <v>8</v>
      </c>
      <c r="B10" s="18" t="s">
        <v>177</v>
      </c>
      <c r="C10" s="18" t="s">
        <v>163</v>
      </c>
      <c r="D10" s="18" t="s">
        <v>178</v>
      </c>
    </row>
    <row r="11" spans="1:4" ht="21.75" x14ac:dyDescent="0.25">
      <c r="A11" s="17">
        <v>9</v>
      </c>
      <c r="B11" s="18" t="s">
        <v>179</v>
      </c>
      <c r="C11" s="18" t="s">
        <v>163</v>
      </c>
      <c r="D11" s="18" t="s">
        <v>180</v>
      </c>
    </row>
    <row r="12" spans="1:4" ht="21.75" x14ac:dyDescent="0.25">
      <c r="A12" s="17">
        <v>10</v>
      </c>
      <c r="B12" s="13" t="s">
        <v>51</v>
      </c>
      <c r="C12" s="18" t="s">
        <v>163</v>
      </c>
      <c r="D12" s="18" t="s">
        <v>181</v>
      </c>
    </row>
    <row r="13" spans="1:4" ht="21.75" x14ac:dyDescent="0.25">
      <c r="A13" s="17">
        <v>11</v>
      </c>
      <c r="B13" s="18" t="s">
        <v>167</v>
      </c>
      <c r="C13" s="18" t="s">
        <v>163</v>
      </c>
      <c r="D13" s="18" t="s">
        <v>182</v>
      </c>
    </row>
    <row r="14" spans="1:4" ht="21.75" x14ac:dyDescent="0.25">
      <c r="A14" s="17">
        <v>12</v>
      </c>
      <c r="B14" s="18" t="s">
        <v>183</v>
      </c>
      <c r="C14" s="18" t="s">
        <v>163</v>
      </c>
      <c r="D14" s="18" t="s">
        <v>184</v>
      </c>
    </row>
    <row r="15" spans="1:4" ht="21.75" x14ac:dyDescent="0.25">
      <c r="A15" s="17">
        <v>13</v>
      </c>
      <c r="B15" s="18" t="s">
        <v>185</v>
      </c>
      <c r="C15" s="18" t="s">
        <v>163</v>
      </c>
      <c r="D15" s="18" t="s">
        <v>186</v>
      </c>
    </row>
    <row r="16" spans="1:4" ht="21.75" x14ac:dyDescent="0.25">
      <c r="A16" s="17">
        <v>14</v>
      </c>
      <c r="B16" s="18" t="s">
        <v>187</v>
      </c>
      <c r="C16" s="18" t="s">
        <v>163</v>
      </c>
      <c r="D16" s="18" t="s">
        <v>188</v>
      </c>
    </row>
    <row r="17" spans="1:4" ht="21.75" x14ac:dyDescent="0.25">
      <c r="A17" s="17">
        <v>15</v>
      </c>
      <c r="B17" s="18" t="s">
        <v>189</v>
      </c>
      <c r="C17" s="18" t="s">
        <v>163</v>
      </c>
      <c r="D17" s="18" t="s">
        <v>190</v>
      </c>
    </row>
    <row r="18" spans="1:4" ht="43.5" x14ac:dyDescent="0.25">
      <c r="A18" s="17">
        <v>16</v>
      </c>
      <c r="B18" s="18" t="s">
        <v>191</v>
      </c>
      <c r="C18" s="18" t="s">
        <v>163</v>
      </c>
      <c r="D18" s="18" t="s">
        <v>192</v>
      </c>
    </row>
    <row r="19" spans="1:4" ht="21.75" x14ac:dyDescent="0.25">
      <c r="A19" s="17">
        <v>17</v>
      </c>
      <c r="B19" s="18" t="s">
        <v>59</v>
      </c>
      <c r="C19" s="18" t="s">
        <v>163</v>
      </c>
      <c r="D19" s="18" t="s">
        <v>193</v>
      </c>
    </row>
    <row r="20" spans="1:4" ht="21.75" x14ac:dyDescent="0.25">
      <c r="A20" s="19">
        <v>18</v>
      </c>
      <c r="B20" s="20" t="s">
        <v>194</v>
      </c>
      <c r="C20" s="20" t="s">
        <v>195</v>
      </c>
      <c r="D20" s="20" t="s">
        <v>164</v>
      </c>
    </row>
    <row r="21" spans="1:4" ht="21.75" x14ac:dyDescent="0.25">
      <c r="A21" s="19">
        <v>19</v>
      </c>
      <c r="B21" s="20" t="s">
        <v>196</v>
      </c>
      <c r="C21" s="20" t="s">
        <v>195</v>
      </c>
      <c r="D21" s="20" t="s">
        <v>166</v>
      </c>
    </row>
    <row r="22" spans="1:4" ht="21.75" x14ac:dyDescent="0.25">
      <c r="A22" s="19">
        <v>20</v>
      </c>
      <c r="B22" s="20" t="s">
        <v>197</v>
      </c>
      <c r="C22" s="20" t="s">
        <v>195</v>
      </c>
      <c r="D22" s="20" t="s">
        <v>172</v>
      </c>
    </row>
    <row r="23" spans="1:4" ht="21.75" x14ac:dyDescent="0.25">
      <c r="A23" s="19">
        <v>21</v>
      </c>
      <c r="B23" s="21" t="s">
        <v>198</v>
      </c>
      <c r="C23" s="20" t="s">
        <v>195</v>
      </c>
      <c r="D23" s="20" t="s">
        <v>199</v>
      </c>
    </row>
    <row r="24" spans="1:4" ht="21.75" x14ac:dyDescent="0.25">
      <c r="A24" s="19">
        <v>22</v>
      </c>
      <c r="B24" s="21" t="s">
        <v>200</v>
      </c>
      <c r="C24" s="20" t="s">
        <v>195</v>
      </c>
      <c r="D24" s="20" t="s">
        <v>201</v>
      </c>
    </row>
    <row r="25" spans="1:4" ht="21.75" x14ac:dyDescent="0.25">
      <c r="A25" s="22">
        <v>23</v>
      </c>
      <c r="B25" s="23" t="s">
        <v>202</v>
      </c>
      <c r="C25" s="23" t="s">
        <v>203</v>
      </c>
      <c r="D25" s="23" t="s">
        <v>164</v>
      </c>
    </row>
    <row r="26" spans="1:4" ht="21.75" x14ac:dyDescent="0.25">
      <c r="A26" s="22">
        <v>24</v>
      </c>
      <c r="B26" s="23" t="s">
        <v>204</v>
      </c>
      <c r="C26" s="23" t="s">
        <v>203</v>
      </c>
      <c r="D26" s="23" t="s">
        <v>166</v>
      </c>
    </row>
    <row r="27" spans="1:4" ht="21.75" x14ac:dyDescent="0.25">
      <c r="A27" s="22">
        <v>25</v>
      </c>
      <c r="B27" s="23" t="s">
        <v>205</v>
      </c>
      <c r="C27" s="23" t="s">
        <v>203</v>
      </c>
      <c r="D27" s="23" t="s">
        <v>172</v>
      </c>
    </row>
    <row r="28" spans="1:4" ht="21.75" x14ac:dyDescent="0.25">
      <c r="A28" s="22">
        <v>26</v>
      </c>
      <c r="B28" s="24" t="s">
        <v>206</v>
      </c>
      <c r="C28" s="23" t="s">
        <v>203</v>
      </c>
      <c r="D28" s="23" t="s">
        <v>199</v>
      </c>
    </row>
    <row r="29" spans="1:4" ht="21.75" x14ac:dyDescent="0.25">
      <c r="A29" s="22">
        <v>27</v>
      </c>
      <c r="B29" s="24" t="s">
        <v>207</v>
      </c>
      <c r="C29" s="23" t="s">
        <v>203</v>
      </c>
      <c r="D29" s="23" t="s">
        <v>201</v>
      </c>
    </row>
    <row r="30" spans="1:4" ht="21.75" x14ac:dyDescent="0.25">
      <c r="A30" s="25">
        <v>28</v>
      </c>
      <c r="B30" s="26" t="s">
        <v>208</v>
      </c>
      <c r="C30" s="26" t="s">
        <v>209</v>
      </c>
      <c r="D30" s="26" t="s">
        <v>164</v>
      </c>
    </row>
    <row r="31" spans="1:4" ht="21.75" x14ac:dyDescent="0.25">
      <c r="A31" s="25">
        <v>29</v>
      </c>
      <c r="B31" s="26" t="s">
        <v>210</v>
      </c>
      <c r="C31" s="26" t="s">
        <v>209</v>
      </c>
      <c r="D31" s="26" t="s">
        <v>166</v>
      </c>
    </row>
    <row r="32" spans="1:4" ht="21.75" x14ac:dyDescent="0.25">
      <c r="A32" s="25">
        <v>30</v>
      </c>
      <c r="B32" s="26" t="s">
        <v>211</v>
      </c>
      <c r="C32" s="26" t="s">
        <v>209</v>
      </c>
      <c r="D32" s="26" t="s">
        <v>172</v>
      </c>
    </row>
    <row r="33" spans="1:4" ht="21.75" x14ac:dyDescent="0.25">
      <c r="A33" s="25">
        <v>31</v>
      </c>
      <c r="B33" s="27" t="s">
        <v>212</v>
      </c>
      <c r="C33" s="26" t="s">
        <v>209</v>
      </c>
      <c r="D33" s="26" t="s">
        <v>199</v>
      </c>
    </row>
    <row r="34" spans="1:4" ht="21.75" x14ac:dyDescent="0.25">
      <c r="A34" s="25">
        <v>32</v>
      </c>
      <c r="B34" s="27" t="s">
        <v>213</v>
      </c>
      <c r="C34" s="26" t="s">
        <v>209</v>
      </c>
      <c r="D34" s="26" t="s">
        <v>201</v>
      </c>
    </row>
    <row r="35" spans="1:4" ht="21.75" x14ac:dyDescent="0.25">
      <c r="A35" s="28">
        <v>33</v>
      </c>
      <c r="B35" s="29" t="s">
        <v>214</v>
      </c>
      <c r="C35" s="29" t="s">
        <v>215</v>
      </c>
      <c r="D35" s="29" t="s">
        <v>164</v>
      </c>
    </row>
    <row r="36" spans="1:4" ht="21.75" x14ac:dyDescent="0.25">
      <c r="A36" s="28">
        <v>34</v>
      </c>
      <c r="B36" s="29" t="s">
        <v>216</v>
      </c>
      <c r="C36" s="29" t="s">
        <v>215</v>
      </c>
      <c r="D36" s="29" t="s">
        <v>166</v>
      </c>
    </row>
    <row r="37" spans="1:4" ht="21.75" x14ac:dyDescent="0.25">
      <c r="A37" s="28">
        <v>35</v>
      </c>
      <c r="B37" s="29" t="s">
        <v>217</v>
      </c>
      <c r="C37" s="29" t="s">
        <v>215</v>
      </c>
      <c r="D37" s="29" t="s">
        <v>172</v>
      </c>
    </row>
    <row r="38" spans="1:4" ht="21.75" x14ac:dyDescent="0.25">
      <c r="A38" s="28">
        <v>36</v>
      </c>
      <c r="B38" s="30" t="s">
        <v>218</v>
      </c>
      <c r="C38" s="29" t="s">
        <v>215</v>
      </c>
      <c r="D38" s="29" t="s">
        <v>199</v>
      </c>
    </row>
    <row r="39" spans="1:4" ht="21.75" x14ac:dyDescent="0.25">
      <c r="A39" s="28">
        <v>37</v>
      </c>
      <c r="B39" s="30" t="s">
        <v>219</v>
      </c>
      <c r="C39" s="29" t="s">
        <v>215</v>
      </c>
      <c r="D39" s="29" t="s">
        <v>201</v>
      </c>
    </row>
    <row r="40" spans="1:4" ht="21.75" x14ac:dyDescent="0.25">
      <c r="A40" s="31">
        <v>38</v>
      </c>
      <c r="B40" s="32" t="s">
        <v>220</v>
      </c>
      <c r="C40" s="32" t="s">
        <v>221</v>
      </c>
      <c r="D40" s="32" t="s">
        <v>164</v>
      </c>
    </row>
    <row r="41" spans="1:4" ht="21.75" x14ac:dyDescent="0.25">
      <c r="A41" s="31">
        <v>39</v>
      </c>
      <c r="B41" s="32" t="s">
        <v>222</v>
      </c>
      <c r="C41" s="32" t="s">
        <v>221</v>
      </c>
      <c r="D41" s="32" t="s">
        <v>166</v>
      </c>
    </row>
    <row r="42" spans="1:4" ht="21.75" x14ac:dyDescent="0.25">
      <c r="A42" s="31">
        <v>40</v>
      </c>
      <c r="B42" s="32" t="s">
        <v>169</v>
      </c>
      <c r="C42" s="32" t="s">
        <v>221</v>
      </c>
      <c r="D42" s="32" t="s">
        <v>172</v>
      </c>
    </row>
    <row r="43" spans="1:4" ht="21.75" x14ac:dyDescent="0.25">
      <c r="A43" s="31">
        <v>41</v>
      </c>
      <c r="B43" s="33" t="s">
        <v>223</v>
      </c>
      <c r="C43" s="32" t="s">
        <v>221</v>
      </c>
      <c r="D43" s="32" t="s">
        <v>199</v>
      </c>
    </row>
    <row r="44" spans="1:4" ht="21.75" x14ac:dyDescent="0.25">
      <c r="A44" s="31">
        <v>42</v>
      </c>
      <c r="B44" s="33" t="s">
        <v>222</v>
      </c>
      <c r="C44" s="32" t="s">
        <v>221</v>
      </c>
      <c r="D44" s="32" t="s">
        <v>201</v>
      </c>
    </row>
    <row r="45" spans="1:4" ht="21.75" x14ac:dyDescent="0.25">
      <c r="A45" s="34">
        <v>43</v>
      </c>
      <c r="B45" s="35" t="s">
        <v>224</v>
      </c>
      <c r="C45" s="35" t="s">
        <v>225</v>
      </c>
      <c r="D45" s="35" t="s">
        <v>164</v>
      </c>
    </row>
    <row r="46" spans="1:4" ht="21.75" x14ac:dyDescent="0.25">
      <c r="A46" s="34">
        <v>44</v>
      </c>
      <c r="B46" s="35" t="s">
        <v>226</v>
      </c>
      <c r="C46" s="35" t="s">
        <v>225</v>
      </c>
      <c r="D46" s="35" t="s">
        <v>166</v>
      </c>
    </row>
    <row r="47" spans="1:4" ht="21.75" x14ac:dyDescent="0.25">
      <c r="A47" s="34">
        <v>45</v>
      </c>
      <c r="B47" s="35" t="s">
        <v>227</v>
      </c>
      <c r="C47" s="35" t="s">
        <v>225</v>
      </c>
      <c r="D47" s="35" t="s">
        <v>172</v>
      </c>
    </row>
    <row r="48" spans="1:4" ht="21.75" x14ac:dyDescent="0.25">
      <c r="A48" s="36">
        <v>46</v>
      </c>
      <c r="B48" s="36" t="s">
        <v>228</v>
      </c>
      <c r="C48" s="35" t="s">
        <v>225</v>
      </c>
      <c r="D48" s="36" t="s">
        <v>199</v>
      </c>
    </row>
    <row r="49" spans="1:4" ht="21.75" x14ac:dyDescent="0.25">
      <c r="A49" s="36">
        <v>47</v>
      </c>
      <c r="B49" s="36" t="s">
        <v>229</v>
      </c>
      <c r="C49" s="35" t="s">
        <v>225</v>
      </c>
      <c r="D49" s="36" t="s">
        <v>201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Normal="100" workbookViewId="0">
      <pane ySplit="3" topLeftCell="A4" activePane="bottomLeft" state="frozen"/>
      <selection pane="bottomLeft" activeCell="E7" sqref="E7"/>
    </sheetView>
  </sheetViews>
  <sheetFormatPr defaultColWidth="8.7109375" defaultRowHeight="15" x14ac:dyDescent="0.25"/>
  <cols>
    <col min="1" max="1" width="5" customWidth="1"/>
    <col min="2" max="2" width="26" customWidth="1"/>
    <col min="3" max="3" width="22" customWidth="1"/>
    <col min="4" max="4" width="26" customWidth="1"/>
    <col min="5" max="5" width="40" customWidth="1"/>
    <col min="6" max="6" width="32" customWidth="1"/>
    <col min="7" max="7" width="34" customWidth="1"/>
    <col min="8" max="9" width="26" customWidth="1"/>
  </cols>
  <sheetData>
    <row r="1" spans="1:9" ht="18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ht="129.75" customHeight="1" x14ac:dyDescent="0.25">
      <c r="A4" s="6">
        <v>1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</row>
    <row r="5" spans="1:9" ht="129.75" customHeight="1" x14ac:dyDescent="0.25">
      <c r="A5" s="6">
        <v>2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25</v>
      </c>
    </row>
    <row r="6" spans="1:9" ht="129.75" customHeight="1" x14ac:dyDescent="0.25">
      <c r="A6" s="6">
        <v>3</v>
      </c>
      <c r="B6" s="7" t="s">
        <v>26</v>
      </c>
      <c r="C6" s="7" t="s">
        <v>27</v>
      </c>
      <c r="D6" s="7" t="s">
        <v>28</v>
      </c>
      <c r="E6" s="7" t="s">
        <v>29</v>
      </c>
      <c r="F6" s="7" t="s">
        <v>30</v>
      </c>
      <c r="G6" s="7" t="s">
        <v>31</v>
      </c>
      <c r="H6" s="7" t="s">
        <v>32</v>
      </c>
      <c r="I6" s="7" t="s">
        <v>33</v>
      </c>
    </row>
    <row r="7" spans="1:9" ht="129.75" customHeight="1" x14ac:dyDescent="0.25">
      <c r="A7" s="6">
        <v>4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38</v>
      </c>
      <c r="G7" s="7" t="s">
        <v>39</v>
      </c>
      <c r="H7" s="7" t="s">
        <v>40</v>
      </c>
      <c r="I7" s="7" t="s">
        <v>41</v>
      </c>
    </row>
    <row r="8" spans="1:9" ht="129.75" customHeight="1" x14ac:dyDescent="0.25">
      <c r="A8" s="6">
        <v>5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48</v>
      </c>
      <c r="I8" s="7" t="s">
        <v>49</v>
      </c>
    </row>
    <row r="9" spans="1:9" ht="129.75" customHeight="1" x14ac:dyDescent="0.25">
      <c r="A9" s="6">
        <v>6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  <c r="G9" s="7" t="s">
        <v>55</v>
      </c>
      <c r="H9" s="7" t="s">
        <v>56</v>
      </c>
      <c r="I9" s="7" t="s">
        <v>57</v>
      </c>
    </row>
    <row r="10" spans="1:9" ht="129.75" customHeight="1" x14ac:dyDescent="0.25">
      <c r="A10" s="6">
        <v>7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</row>
    <row r="11" spans="1:9" ht="129.75" customHeight="1" x14ac:dyDescent="0.25">
      <c r="A11" s="6">
        <v>8</v>
      </c>
      <c r="B11" s="7" t="s">
        <v>66</v>
      </c>
      <c r="C11" s="7" t="s">
        <v>67</v>
      </c>
      <c r="D11" s="7" t="s">
        <v>68</v>
      </c>
      <c r="E11" s="7" t="s">
        <v>69</v>
      </c>
      <c r="F11" s="7" t="s">
        <v>70</v>
      </c>
      <c r="G11" s="7" t="s">
        <v>71</v>
      </c>
      <c r="H11" s="7" t="s">
        <v>72</v>
      </c>
      <c r="I11" s="7" t="s">
        <v>73</v>
      </c>
    </row>
    <row r="12" spans="1:9" ht="129.75" customHeight="1" x14ac:dyDescent="0.25">
      <c r="A12" s="6">
        <v>9</v>
      </c>
      <c r="B12" s="7" t="s">
        <v>74</v>
      </c>
      <c r="C12" s="7" t="s">
        <v>75</v>
      </c>
      <c r="D12" s="7" t="s">
        <v>76</v>
      </c>
      <c r="E12" s="7" t="s">
        <v>77</v>
      </c>
      <c r="F12" s="7" t="s">
        <v>78</v>
      </c>
      <c r="G12" s="7" t="s">
        <v>79</v>
      </c>
      <c r="H12" s="7" t="s">
        <v>80</v>
      </c>
      <c r="I12" s="7" t="s">
        <v>81</v>
      </c>
    </row>
    <row r="13" spans="1:9" ht="129.75" customHeight="1" x14ac:dyDescent="0.25">
      <c r="A13" s="6">
        <v>10</v>
      </c>
      <c r="B13" s="7" t="s">
        <v>82</v>
      </c>
      <c r="C13" s="7" t="s">
        <v>83</v>
      </c>
      <c r="D13" s="7" t="s">
        <v>84</v>
      </c>
      <c r="E13" s="7" t="s">
        <v>85</v>
      </c>
      <c r="F13" s="7" t="s">
        <v>86</v>
      </c>
      <c r="G13" s="7" t="s">
        <v>87</v>
      </c>
      <c r="H13" s="7" t="s">
        <v>88</v>
      </c>
      <c r="I13" s="7" t="s">
        <v>89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zoomScaleNormal="100" workbookViewId="0">
      <pane ySplit="3" topLeftCell="A4" activePane="bottomLeft" state="frozen"/>
      <selection pane="bottomLeft" sqref="A1:E1"/>
    </sheetView>
  </sheetViews>
  <sheetFormatPr defaultColWidth="8.7109375" defaultRowHeight="15" x14ac:dyDescent="0.25"/>
  <cols>
    <col min="1" max="1" width="5" customWidth="1"/>
    <col min="2" max="2" width="42" customWidth="1"/>
    <col min="3" max="3" width="14" customWidth="1"/>
    <col min="4" max="4" width="16" customWidth="1"/>
    <col min="5" max="5" width="46" customWidth="1"/>
  </cols>
  <sheetData>
    <row r="1" spans="1:5" ht="18" x14ac:dyDescent="0.25">
      <c r="A1" s="4" t="s">
        <v>90</v>
      </c>
      <c r="B1" s="4"/>
      <c r="C1" s="4"/>
      <c r="D1" s="4"/>
      <c r="E1" s="4"/>
    </row>
    <row r="3" spans="1:5" x14ac:dyDescent="0.25">
      <c r="A3" s="5" t="s">
        <v>1</v>
      </c>
      <c r="B3" s="5" t="s">
        <v>91</v>
      </c>
      <c r="C3" s="5" t="s">
        <v>92</v>
      </c>
      <c r="D3" s="5" t="s">
        <v>93</v>
      </c>
      <c r="E3" s="5" t="s">
        <v>7</v>
      </c>
    </row>
    <row r="4" spans="1:5" ht="33.75" customHeight="1" x14ac:dyDescent="0.25">
      <c r="A4" s="6">
        <v>1</v>
      </c>
      <c r="B4" s="7" t="s">
        <v>94</v>
      </c>
      <c r="C4" s="7" t="s">
        <v>95</v>
      </c>
      <c r="D4" s="6" t="s">
        <v>96</v>
      </c>
      <c r="E4" s="7" t="s">
        <v>97</v>
      </c>
    </row>
    <row r="5" spans="1:5" ht="33.75" customHeight="1" x14ac:dyDescent="0.25">
      <c r="A5" s="6">
        <v>2</v>
      </c>
      <c r="B5" s="7" t="s">
        <v>98</v>
      </c>
      <c r="C5" s="7" t="s">
        <v>95</v>
      </c>
      <c r="D5" s="6" t="s">
        <v>96</v>
      </c>
      <c r="E5" s="7" t="s">
        <v>99</v>
      </c>
    </row>
    <row r="6" spans="1:5" ht="33.75" customHeight="1" x14ac:dyDescent="0.25">
      <c r="A6" s="6">
        <v>3</v>
      </c>
      <c r="B6" s="7" t="s">
        <v>100</v>
      </c>
      <c r="C6" s="7" t="s">
        <v>101</v>
      </c>
      <c r="D6" s="6" t="s">
        <v>102</v>
      </c>
      <c r="E6" s="7" t="s">
        <v>103</v>
      </c>
    </row>
    <row r="7" spans="1:5" ht="33.75" customHeight="1" x14ac:dyDescent="0.25">
      <c r="A7" s="6">
        <v>4</v>
      </c>
      <c r="B7" s="7" t="s">
        <v>104</v>
      </c>
      <c r="C7" s="7" t="s">
        <v>101</v>
      </c>
      <c r="D7" s="6" t="s">
        <v>96</v>
      </c>
      <c r="E7" s="7" t="s">
        <v>105</v>
      </c>
    </row>
    <row r="8" spans="1:5" ht="33.75" customHeight="1" x14ac:dyDescent="0.25">
      <c r="A8" s="6">
        <v>5</v>
      </c>
      <c r="B8" s="7" t="s">
        <v>106</v>
      </c>
      <c r="C8" s="7" t="s">
        <v>95</v>
      </c>
      <c r="D8" s="6" t="s">
        <v>107</v>
      </c>
      <c r="E8" s="7" t="s">
        <v>108</v>
      </c>
    </row>
    <row r="9" spans="1:5" ht="33.75" customHeight="1" x14ac:dyDescent="0.25">
      <c r="A9" s="6">
        <v>6</v>
      </c>
      <c r="B9" s="7" t="s">
        <v>109</v>
      </c>
      <c r="C9" s="7" t="s">
        <v>110</v>
      </c>
      <c r="D9" s="6" t="s">
        <v>111</v>
      </c>
      <c r="E9" s="7" t="s">
        <v>112</v>
      </c>
    </row>
    <row r="10" spans="1:5" ht="33.75" customHeight="1" x14ac:dyDescent="0.25">
      <c r="A10" s="6">
        <v>7</v>
      </c>
      <c r="B10" s="7" t="s">
        <v>113</v>
      </c>
      <c r="C10" s="7" t="s">
        <v>110</v>
      </c>
      <c r="D10" s="6" t="s">
        <v>107</v>
      </c>
      <c r="E10" s="7" t="s">
        <v>114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2" customWidth="1"/>
    <col min="3" max="3" width="34" customWidth="1"/>
    <col min="4" max="6" width="16" customWidth="1"/>
  </cols>
  <sheetData>
    <row r="1" spans="1:6" ht="18" x14ac:dyDescent="0.25">
      <c r="A1" s="4" t="s">
        <v>115</v>
      </c>
      <c r="B1" s="4"/>
      <c r="C1" s="4"/>
      <c r="D1" s="4"/>
      <c r="E1" s="4"/>
      <c r="F1" s="4"/>
    </row>
    <row r="2" spans="1:6" x14ac:dyDescent="0.25">
      <c r="A2" s="3" t="s">
        <v>116</v>
      </c>
      <c r="B2" s="3"/>
      <c r="C2" s="3"/>
      <c r="D2" s="3"/>
      <c r="E2" s="3"/>
      <c r="F2" s="3"/>
    </row>
    <row r="4" spans="1:6" ht="30" x14ac:dyDescent="0.25">
      <c r="A4" s="5" t="s">
        <v>1</v>
      </c>
      <c r="B4" s="5" t="s">
        <v>2</v>
      </c>
      <c r="C4" s="5" t="s">
        <v>91</v>
      </c>
      <c r="D4" s="5" t="s">
        <v>117</v>
      </c>
      <c r="E4" s="5" t="s">
        <v>118</v>
      </c>
      <c r="F4" s="5" t="s">
        <v>119</v>
      </c>
    </row>
    <row r="5" spans="1:6" x14ac:dyDescent="0.25">
      <c r="A5" s="6">
        <v>1</v>
      </c>
      <c r="B5" s="6" t="s">
        <v>120</v>
      </c>
      <c r="C5" s="7" t="s">
        <v>121</v>
      </c>
      <c r="D5" s="6" t="s">
        <v>122</v>
      </c>
      <c r="E5" s="8">
        <v>13500000</v>
      </c>
      <c r="F5" s="7"/>
    </row>
    <row r="6" spans="1:6" x14ac:dyDescent="0.25">
      <c r="A6" s="6">
        <v>2</v>
      </c>
      <c r="B6" s="6" t="s">
        <v>120</v>
      </c>
      <c r="C6" s="7" t="s">
        <v>123</v>
      </c>
      <c r="D6" s="6" t="s">
        <v>124</v>
      </c>
      <c r="E6" s="8">
        <v>2000000</v>
      </c>
      <c r="F6" s="7"/>
    </row>
    <row r="7" spans="1:6" x14ac:dyDescent="0.25">
      <c r="A7" s="6">
        <v>3</v>
      </c>
      <c r="B7" s="6" t="s">
        <v>120</v>
      </c>
      <c r="C7" s="7" t="s">
        <v>125</v>
      </c>
      <c r="D7" s="6" t="s">
        <v>126</v>
      </c>
      <c r="E7" s="8">
        <v>1000000</v>
      </c>
      <c r="F7" s="7"/>
    </row>
    <row r="8" spans="1:6" x14ac:dyDescent="0.25">
      <c r="A8" s="6">
        <v>4</v>
      </c>
      <c r="B8" s="6" t="s">
        <v>120</v>
      </c>
      <c r="C8" s="7" t="s">
        <v>127</v>
      </c>
      <c r="D8" s="6" t="s">
        <v>126</v>
      </c>
      <c r="E8" s="8">
        <v>1000000</v>
      </c>
      <c r="F8" s="7"/>
    </row>
    <row r="9" spans="1:6" x14ac:dyDescent="0.25">
      <c r="A9" s="6">
        <v>5</v>
      </c>
      <c r="B9" s="6" t="s">
        <v>120</v>
      </c>
      <c r="C9" s="7" t="s">
        <v>128</v>
      </c>
      <c r="D9" s="6" t="s">
        <v>126</v>
      </c>
      <c r="E9" s="8">
        <v>1000000</v>
      </c>
      <c r="F9" s="7"/>
    </row>
    <row r="10" spans="1:6" x14ac:dyDescent="0.25">
      <c r="A10" s="6">
        <v>6</v>
      </c>
      <c r="B10" s="6" t="s">
        <v>120</v>
      </c>
      <c r="C10" s="7" t="s">
        <v>129</v>
      </c>
      <c r="D10" s="6" t="s">
        <v>126</v>
      </c>
      <c r="E10" s="8">
        <v>8000000</v>
      </c>
      <c r="F10" s="7"/>
    </row>
    <row r="11" spans="1:6" x14ac:dyDescent="0.25">
      <c r="A11" s="6">
        <v>7</v>
      </c>
      <c r="B11" s="6" t="s">
        <v>120</v>
      </c>
      <c r="C11" s="7" t="s">
        <v>130</v>
      </c>
      <c r="D11" s="6" t="s">
        <v>131</v>
      </c>
      <c r="E11" s="8">
        <v>5000000</v>
      </c>
      <c r="F11" s="7"/>
    </row>
    <row r="12" spans="1:6" x14ac:dyDescent="0.25">
      <c r="A12" s="6">
        <v>8</v>
      </c>
      <c r="B12" s="6" t="s">
        <v>120</v>
      </c>
      <c r="C12" s="7" t="s">
        <v>132</v>
      </c>
      <c r="D12" s="6" t="s">
        <v>126</v>
      </c>
      <c r="E12" s="8">
        <v>5000000</v>
      </c>
      <c r="F12" s="7"/>
    </row>
    <row r="13" spans="1:6" x14ac:dyDescent="0.25">
      <c r="A13" s="9"/>
      <c r="B13" s="2" t="s">
        <v>133</v>
      </c>
      <c r="C13" s="2"/>
      <c r="D13" s="2"/>
      <c r="E13" s="10">
        <f>SUM(E5:E12)</f>
        <v>36500000</v>
      </c>
      <c r="F13" s="9"/>
    </row>
    <row r="14" spans="1:6" x14ac:dyDescent="0.25">
      <c r="A14" s="6">
        <v>9</v>
      </c>
      <c r="B14" s="6" t="s">
        <v>134</v>
      </c>
      <c r="C14" s="7" t="s">
        <v>135</v>
      </c>
      <c r="D14" s="6" t="s">
        <v>136</v>
      </c>
      <c r="E14" s="8">
        <v>12000000</v>
      </c>
      <c r="F14" s="7"/>
    </row>
    <row r="15" spans="1:6" x14ac:dyDescent="0.25">
      <c r="A15" s="6">
        <v>10</v>
      </c>
      <c r="B15" s="6" t="s">
        <v>134</v>
      </c>
      <c r="C15" s="7" t="s">
        <v>137</v>
      </c>
      <c r="D15" s="6" t="s">
        <v>126</v>
      </c>
      <c r="E15" s="8">
        <v>7000000</v>
      </c>
      <c r="F15" s="7"/>
    </row>
    <row r="16" spans="1:6" x14ac:dyDescent="0.25">
      <c r="A16" s="6">
        <v>11</v>
      </c>
      <c r="B16" s="6" t="s">
        <v>134</v>
      </c>
      <c r="C16" s="7" t="s">
        <v>138</v>
      </c>
      <c r="D16" s="6" t="s">
        <v>122</v>
      </c>
      <c r="E16" s="8">
        <v>45000000</v>
      </c>
      <c r="F16" s="7"/>
    </row>
    <row r="17" spans="1:6" x14ac:dyDescent="0.25">
      <c r="A17" s="6">
        <v>12</v>
      </c>
      <c r="B17" s="6" t="s">
        <v>134</v>
      </c>
      <c r="C17" s="7" t="s">
        <v>139</v>
      </c>
      <c r="D17" s="6" t="s">
        <v>126</v>
      </c>
      <c r="E17" s="8">
        <v>18000000</v>
      </c>
      <c r="F17" s="7"/>
    </row>
    <row r="18" spans="1:6" x14ac:dyDescent="0.25">
      <c r="A18" s="6">
        <v>13</v>
      </c>
      <c r="B18" s="6" t="s">
        <v>134</v>
      </c>
      <c r="C18" s="7" t="s">
        <v>140</v>
      </c>
      <c r="D18" s="6" t="s">
        <v>126</v>
      </c>
      <c r="E18" s="8">
        <v>6000000</v>
      </c>
      <c r="F18" s="7"/>
    </row>
    <row r="19" spans="1:6" x14ac:dyDescent="0.25">
      <c r="A19" s="6">
        <v>14</v>
      </c>
      <c r="B19" s="6" t="s">
        <v>134</v>
      </c>
      <c r="C19" s="7" t="s">
        <v>141</v>
      </c>
      <c r="D19" s="6" t="s">
        <v>126</v>
      </c>
      <c r="E19" s="8">
        <v>2600000</v>
      </c>
      <c r="F19" s="7"/>
    </row>
    <row r="20" spans="1:6" x14ac:dyDescent="0.25">
      <c r="A20" s="6">
        <v>15</v>
      </c>
      <c r="B20" s="6" t="s">
        <v>134</v>
      </c>
      <c r="C20" s="7" t="s">
        <v>142</v>
      </c>
      <c r="D20" s="6" t="s">
        <v>126</v>
      </c>
      <c r="E20" s="8">
        <v>10000000</v>
      </c>
      <c r="F20" s="7"/>
    </row>
    <row r="21" spans="1:6" x14ac:dyDescent="0.25">
      <c r="A21" s="9"/>
      <c r="B21" s="2" t="s">
        <v>143</v>
      </c>
      <c r="C21" s="2"/>
      <c r="D21" s="2"/>
      <c r="E21" s="10">
        <f>SUM(E14:E20)</f>
        <v>100600000</v>
      </c>
      <c r="F21" s="9"/>
    </row>
    <row r="22" spans="1:6" x14ac:dyDescent="0.25">
      <c r="A22" s="6">
        <v>16</v>
      </c>
      <c r="B22" s="6" t="s">
        <v>144</v>
      </c>
      <c r="C22" s="7" t="s">
        <v>145</v>
      </c>
      <c r="D22" s="6" t="s">
        <v>122</v>
      </c>
      <c r="E22" s="8">
        <v>25000000</v>
      </c>
      <c r="F22" s="7"/>
    </row>
    <row r="23" spans="1:6" x14ac:dyDescent="0.25">
      <c r="A23" s="6">
        <v>17</v>
      </c>
      <c r="B23" s="6" t="s">
        <v>144</v>
      </c>
      <c r="C23" s="7" t="s">
        <v>146</v>
      </c>
      <c r="D23" s="6" t="s">
        <v>122</v>
      </c>
      <c r="E23" s="8">
        <v>0</v>
      </c>
      <c r="F23" s="7" t="s">
        <v>147</v>
      </c>
    </row>
    <row r="24" spans="1:6" x14ac:dyDescent="0.25">
      <c r="A24" s="6">
        <v>18</v>
      </c>
      <c r="B24" s="6" t="s">
        <v>144</v>
      </c>
      <c r="C24" s="7" t="s">
        <v>148</v>
      </c>
      <c r="D24" s="6" t="s">
        <v>126</v>
      </c>
      <c r="E24" s="8">
        <v>1500000</v>
      </c>
      <c r="F24" s="7"/>
    </row>
    <row r="25" spans="1:6" x14ac:dyDescent="0.25">
      <c r="A25" s="6">
        <v>19</v>
      </c>
      <c r="B25" s="6" t="s">
        <v>144</v>
      </c>
      <c r="C25" s="7" t="s">
        <v>149</v>
      </c>
      <c r="D25" s="6" t="s">
        <v>126</v>
      </c>
      <c r="E25" s="8">
        <v>8000000</v>
      </c>
      <c r="F25" s="7"/>
    </row>
    <row r="26" spans="1:6" x14ac:dyDescent="0.25">
      <c r="A26" s="9"/>
      <c r="B26" s="2" t="s">
        <v>150</v>
      </c>
      <c r="C26" s="2"/>
      <c r="D26" s="2"/>
      <c r="E26" s="10">
        <f>SUM(E22:E25)</f>
        <v>34500000</v>
      </c>
      <c r="F26" s="9"/>
    </row>
    <row r="27" spans="1:6" x14ac:dyDescent="0.25">
      <c r="A27" s="6">
        <v>20</v>
      </c>
      <c r="B27" s="6" t="s">
        <v>151</v>
      </c>
      <c r="C27" s="7" t="s">
        <v>152</v>
      </c>
      <c r="D27" s="6" t="s">
        <v>153</v>
      </c>
      <c r="E27" s="8">
        <v>0</v>
      </c>
      <c r="F27" s="7" t="s">
        <v>147</v>
      </c>
    </row>
    <row r="28" spans="1:6" x14ac:dyDescent="0.25">
      <c r="A28" s="6">
        <v>21</v>
      </c>
      <c r="B28" s="6" t="s">
        <v>151</v>
      </c>
      <c r="C28" s="7" t="s">
        <v>154</v>
      </c>
      <c r="D28" s="6" t="s">
        <v>124</v>
      </c>
      <c r="E28" s="8">
        <v>9000000</v>
      </c>
      <c r="F28" s="7"/>
    </row>
    <row r="29" spans="1:6" x14ac:dyDescent="0.25">
      <c r="A29" s="6">
        <v>22</v>
      </c>
      <c r="B29" s="6" t="s">
        <v>151</v>
      </c>
      <c r="C29" s="7" t="s">
        <v>155</v>
      </c>
      <c r="D29" s="6" t="s">
        <v>124</v>
      </c>
      <c r="E29" s="8">
        <v>9000000</v>
      </c>
      <c r="F29" s="7"/>
    </row>
    <row r="30" spans="1:6" x14ac:dyDescent="0.25">
      <c r="A30" s="9"/>
      <c r="B30" s="2" t="s">
        <v>156</v>
      </c>
      <c r="C30" s="2"/>
      <c r="D30" s="2"/>
      <c r="E30" s="10">
        <f>SUM(E27:E29)</f>
        <v>18000000</v>
      </c>
      <c r="F30" s="9"/>
    </row>
    <row r="31" spans="1:6" x14ac:dyDescent="0.25">
      <c r="A31" s="11"/>
      <c r="B31" s="1" t="s">
        <v>157</v>
      </c>
      <c r="C31" s="1"/>
      <c r="D31" s="1"/>
      <c r="E31" s="12">
        <f>E13+E21+E26+E30</f>
        <v>189600000</v>
      </c>
      <c r="F31" s="11"/>
    </row>
  </sheetData>
  <mergeCells count="7">
    <mergeCell ref="B30:D30"/>
    <mergeCell ref="B31:D31"/>
    <mergeCell ref="A1:F1"/>
    <mergeCell ref="A2:F2"/>
    <mergeCell ref="B13:D13"/>
    <mergeCell ref="B21:D21"/>
    <mergeCell ref="B26:D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Struktur DPC</vt:lpstr>
      <vt:lpstr>Matriks Bidang &amp; Program</vt:lpstr>
      <vt:lpstr>Prioritas Pembinaan-Rekrutmen</vt:lpstr>
      <vt:lpstr>RAB Program Prioritas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namakoeian</cp:lastModifiedBy>
  <cp:revision>0</cp:revision>
  <dcterms:created xsi:type="dcterms:W3CDTF">2026-08-29T17:41:28Z</dcterms:created>
  <dcterms:modified xsi:type="dcterms:W3CDTF">2026-08-29T18:01:27Z</dcterms:modified>
  <dc:language>en-US</dc:language>
</cp:coreProperties>
</file>