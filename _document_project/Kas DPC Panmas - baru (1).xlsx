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ma" sheetId="1" r:id="rId5"/>
    <sheet state="visible" name="Rekap per bulan" sheetId="2" r:id="rId6"/>
    <sheet state="visible" name="Rekap per jenis per bulan" sheetId="3" r:id="rId7"/>
    <sheet state="visible" name="Rekap" sheetId="4" r:id="rId8"/>
    <sheet state="visible" name="Rekap piutang" sheetId="5" r:id="rId9"/>
  </sheets>
  <definedNames>
    <definedName hidden="1" localSheetId="0" name="_xlnm._FilterDatabase">Utama!$A$1:$S$663</definedName>
  </definedNames>
  <calcPr/>
  <pivotCaches>
    <pivotCache cacheId="0" r:id="rId10"/>
    <pivotCache cacheId="1" r:id="rId11"/>
    <pivotCache cacheId="2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tc={01df65c9-be27-477a-a6ed-4de9bb99dd56}</author>
    <author>tc={6b8e9048-642c-40dd-946d-74e58d480391}</author>
    <author>tc={d20f8772-6489-4a38-96bd-ca92f2febed5}</author>
  </authors>
  <commentList>
    <comment authorId="0" ref="B261">
      <text>
        <t xml:space="preserve">Laporan penjualan kopi 
Tanggal 02 Agustus 2025
Kopi susu Gula Aren
Total 4 Porsi x 18.000 = 72.000
Americano
Total 1 Porsi x 12.000 = 12.000
Capucino
Total 1 Porsi x 13.000 = 13.000
Latte
Total 1 Porsi x 13.000 = 13.000
Latte es
Total 1 Porsi x 15.000 = 15.000
Total : 125.000
Total porsi : 8 porsi
Total DPc : 8 porsi x 3.000= 24.000
125.000-24.000= 101.000 (di TF ke Ndut coffee)
=========
Pisang Bakar
Total 1 Porsi x 10.000 = 10.000
Burger
Total 3 Porsi x 12.000 = 36.000
Kentang Goreng
Total  7 Porsi x 10.000 = 70.000
Kebab
Total 1 Porsi x 12.000 = 12.000
Total : 128.000
=========
Indomie rebus + telur
Total 6 porsi x 12.000 = 72.000
Indomie Goreng + Telur
Total 3 Porsi x 12.000 = 36.000
Spageti
Total 1 Porsi x 7000 = 7.000
kopi Seduh 
Total 1 Porsi x 5.000  = 5.000
Total : 120.000
Grand total Penjualan : 373.000</t>
      </text>
    </comment>
    <comment authorId="1" xr:uid="{01df65c9-be27-477a-a6ed-4de9bb99dd56}" ref="B5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Lele, soto ayam, jeruk 80k
+ lele   14k
</t>
      </text>
    </comment>
    <comment authorId="2" xr:uid="{6b8e9048-642c-40dd-946d-74e58d480391}" ref="B4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Laporan pengeluaran DPC februari 2026
- iyuran wajib 200 k
- internet DPC 338 k
- stok gas 366 k
</t>
      </text>
    </comment>
    <comment authorId="3" xr:uid="{d20f8772-6489-4a38-96bd-ca92f2febed5}" ref="B4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x bukebr @70 k 910
17 Mart 2026
Bukber panita terakhir 
Kurma 40 k
Es buah 5 60 k
Sate 5 150 k
Nasi 5 25 k 
Air mineral 17 k
Poto copy
Amplop 
Storfom 85 k
Total 1.287 k
</t>
      </text>
    </comment>
  </commentList>
</comments>
</file>

<file path=xl/sharedStrings.xml><?xml version="1.0" encoding="utf-8"?>
<sst xmlns="http://schemas.openxmlformats.org/spreadsheetml/2006/main" count="2163" uniqueCount="844">
  <si>
    <t>Tanggal</t>
  </si>
  <si>
    <t>Kegiatan</t>
  </si>
  <si>
    <t>Grup</t>
  </si>
  <si>
    <t>Jenis</t>
  </si>
  <si>
    <t>Total Accounts</t>
  </si>
  <si>
    <t>Rek 7212</t>
  </si>
  <si>
    <t>Rek 7137</t>
  </si>
  <si>
    <t>Rek 79100</t>
  </si>
  <si>
    <t>Bea admin</t>
  </si>
  <si>
    <t>Asep</t>
  </si>
  <si>
    <t>DPRa</t>
  </si>
  <si>
    <t>Actionpay</t>
  </si>
  <si>
    <t>BeaKegiatan</t>
  </si>
  <si>
    <t>Konsumsi</t>
  </si>
  <si>
    <t>Ops</t>
  </si>
  <si>
    <t>Taawun</t>
  </si>
  <si>
    <t>piutang</t>
  </si>
  <si>
    <t>Jumlah Keluar</t>
  </si>
  <si>
    <t>Jumlah Masuk</t>
  </si>
  <si>
    <t>SUM of Total Accounts</t>
  </si>
  <si>
    <t>SUM of Rek 7212</t>
  </si>
  <si>
    <t>SUM of Rek 79100</t>
  </si>
  <si>
    <t>SUM of Asep</t>
  </si>
  <si>
    <t>COUNTA of Jenis</t>
  </si>
  <si>
    <t>Infra</t>
  </si>
  <si>
    <t>Kafalah</t>
  </si>
  <si>
    <t>Saldo</t>
  </si>
  <si>
    <t>Pinjaman</t>
  </si>
  <si>
    <t>ops</t>
  </si>
  <si>
    <t>Tunjangan Ramadhan</t>
  </si>
  <si>
    <t>talangan giat humas</t>
  </si>
  <si>
    <t>Halbil</t>
  </si>
  <si>
    <t>Reimburse</t>
  </si>
  <si>
    <t>Yayasan</t>
  </si>
  <si>
    <t>talangan studium generale</t>
  </si>
  <si>
    <t>Rutin</t>
  </si>
  <si>
    <t>lain-lain</t>
  </si>
  <si>
    <t>Tahunan</t>
  </si>
  <si>
    <t>Rekonsil</t>
  </si>
  <si>
    <t>Bulanan</t>
  </si>
  <si>
    <t>Salkir</t>
  </si>
  <si>
    <t>ITB</t>
  </si>
  <si>
    <t>hadiah</t>
  </si>
  <si>
    <t>Apartemen</t>
  </si>
  <si>
    <t>Lebih bayar</t>
  </si>
  <si>
    <t>BMS</t>
  </si>
  <si>
    <t>Pinjam</t>
  </si>
  <si>
    <t>salurkan ITB</t>
  </si>
  <si>
    <t>talangan Mustopa</t>
  </si>
  <si>
    <t>Bantu pelatihan Kepanduan</t>
  </si>
  <si>
    <t>Winarto</t>
  </si>
  <si>
    <t>topup</t>
  </si>
  <si>
    <t>iwb-belum-approve</t>
  </si>
  <si>
    <t>tunai</t>
  </si>
  <si>
    <t>bedah buku</t>
  </si>
  <si>
    <t>UNKNOWN</t>
  </si>
  <si>
    <t>Tunj Ops</t>
  </si>
  <si>
    <t>Tunj Aleg</t>
  </si>
  <si>
    <t>IWB</t>
  </si>
  <si>
    <t>Grand Total</t>
  </si>
  <si>
    <t>Trf Operasional</t>
  </si>
  <si>
    <t>Bantuan ops dr DPD</t>
  </si>
  <si>
    <t>DPD</t>
  </si>
  <si>
    <t>Salurkan ke DPRa via flip (6Dpra x 2bln x 500rb)</t>
  </si>
  <si>
    <t>IWB PM3252 (360rb Lusiana, 50rb nuraini, balqis, sri m, indriyani, ni'mah)</t>
  </si>
  <si>
    <t>PM3252</t>
  </si>
  <si>
    <t>Titipan Untuk Mandiri PM3262</t>
  </si>
  <si>
    <t>PM3262</t>
  </si>
  <si>
    <t>Beli makan malam meet DPC</t>
  </si>
  <si>
    <t>titipan BMS Hendra Hidayat</t>
  </si>
  <si>
    <t>Hendra H</t>
  </si>
  <si>
    <t>Titipan ITB (7x50rb) IWB (7x50rb) Hendra Hidayat PM4101</t>
  </si>
  <si>
    <t>Agus</t>
  </si>
  <si>
    <t>Ibnu Nugroho</t>
  </si>
  <si>
    <t>Ilham</t>
  </si>
  <si>
    <t>Kaderisasi</t>
  </si>
  <si>
    <t>Muhsin Soleh</t>
  </si>
  <si>
    <t>Muhsinin Fauzi</t>
  </si>
  <si>
    <t>Tambahan makan malam</t>
  </si>
  <si>
    <t>PM4206</t>
  </si>
  <si>
    <t>Reza</t>
  </si>
  <si>
    <t>Sadullah</t>
  </si>
  <si>
    <t>Suhendi</t>
  </si>
  <si>
    <t>Verdian</t>
  </si>
  <si>
    <t>Minuman meet</t>
  </si>
  <si>
    <t>Rekonsil titipan untuk Matsu'i</t>
  </si>
  <si>
    <t>setor bms pak Hendra Hidayat</t>
  </si>
  <si>
    <t>ZS</t>
  </si>
  <si>
    <t>bayarkan ITB pak Hendra</t>
  </si>
  <si>
    <t>reimburse bea rapat ke Asep</t>
  </si>
  <si>
    <t>reimburse makanan rapat Bu Ika</t>
  </si>
  <si>
    <t>santunan lakalantas Nur Ikhwanto</t>
  </si>
  <si>
    <t>Pak Hamdi titip IWAI</t>
  </si>
  <si>
    <t>PM4103?</t>
  </si>
  <si>
    <t>pemberian pinjaman Muhsinin</t>
  </si>
  <si>
    <t>Reimburse konsumsi link and match dan diskusi kaderisasi</t>
  </si>
  <si>
    <t>topup actionpay untuk bayarkan ITB PM3221 / PM3206</t>
  </si>
  <si>
    <t>PM3221</t>
  </si>
  <si>
    <t>bayarkan ITB PM3221 / PM3206</t>
  </si>
  <si>
    <t>terima koreksi salkir dari ZS untuk ITB dan IWB PM3221 / PM3206</t>
  </si>
  <si>
    <t>reimburse konsumsi panitia musran &amp; tarhib Ramadhan</t>
  </si>
  <si>
    <t>Terima titipan IWB ITB PM3203</t>
  </si>
  <si>
    <t>PM3203</t>
  </si>
  <si>
    <t>konsumsi acara BKKD</t>
  </si>
  <si>
    <t>operasional musran gabungan</t>
  </si>
  <si>
    <t>konsumsi musran gabungan</t>
  </si>
  <si>
    <t>reimburse konsumsi dpc 20,21 feb</t>
  </si>
  <si>
    <t>topup kas 79100</t>
  </si>
  <si>
    <t>topup actionpay</t>
  </si>
  <si>
    <t>bayarkan ITB PM 3203</t>
  </si>
  <si>
    <t>bayarkan ITB PM 3213</t>
  </si>
  <si>
    <t>PM3213</t>
  </si>
  <si>
    <t>bayarkan ITB PM 3261</t>
  </si>
  <si>
    <t>Tanggal - Year-Month</t>
  </si>
  <si>
    <t>PM3261</t>
  </si>
  <si>
    <t>Total</t>
  </si>
  <si>
    <t>79100</t>
  </si>
  <si>
    <t>2025-Jan Total</t>
  </si>
  <si>
    <t>2025-Feb Total</t>
  </si>
  <si>
    <t xml:space="preserve"> Total</t>
  </si>
  <si>
    <t>2025-Mar Total</t>
  </si>
  <si>
    <t>2025-Apr Total</t>
  </si>
  <si>
    <t>actionpay Total</t>
  </si>
  <si>
    <t>admin</t>
  </si>
  <si>
    <t>2025-May Total</t>
  </si>
  <si>
    <t>2026-Sep</t>
  </si>
  <si>
    <t>Apartemen Total</t>
  </si>
  <si>
    <t>Apresiasi Total</t>
  </si>
  <si>
    <t>2025-Jun Total</t>
  </si>
  <si>
    <t>Penerimaan</t>
  </si>
  <si>
    <t>Pengeluaran</t>
  </si>
  <si>
    <t>2025-Jul Total</t>
  </si>
  <si>
    <t>bayarkan ITB PM 3235</t>
  </si>
  <si>
    <t>Bank Total</t>
  </si>
  <si>
    <t>2025-Aug Total</t>
  </si>
  <si>
    <t>PM3235</t>
  </si>
  <si>
    <t>2025-Sep Total</t>
  </si>
  <si>
    <t>2025-Oct Total</t>
  </si>
  <si>
    <t>2025-Nov Total</t>
  </si>
  <si>
    <t>2025-Dec Total</t>
  </si>
  <si>
    <t>2026-Jan Total</t>
  </si>
  <si>
    <t>2026-Feb Total</t>
  </si>
  <si>
    <t>Setor IWB</t>
  </si>
  <si>
    <t>2026-Mar Total</t>
  </si>
  <si>
    <t>2026-Apr Total</t>
  </si>
  <si>
    <t>bedah buku Total</t>
  </si>
  <si>
    <t>2026-May Total</t>
  </si>
  <si>
    <t>2026-Jun Total</t>
  </si>
  <si>
    <t>Tunjangan ops</t>
  </si>
  <si>
    <t>2026-Jul Total</t>
  </si>
  <si>
    <t>Tunjangan Ops</t>
  </si>
  <si>
    <t>2026-Aug Total</t>
  </si>
  <si>
    <t>BMS Total</t>
  </si>
  <si>
    <t>Lain-lain</t>
  </si>
  <si>
    <t>donasi</t>
  </si>
  <si>
    <t>infaq</t>
  </si>
  <si>
    <t>infra</t>
  </si>
  <si>
    <t>Bulanan Total</t>
  </si>
  <si>
    <t>konsumsi</t>
  </si>
  <si>
    <t>bayarkan ITM PM 3212</t>
  </si>
  <si>
    <t>rekonsil</t>
  </si>
  <si>
    <t>PM3212</t>
  </si>
  <si>
    <t>tunj ops</t>
  </si>
  <si>
    <t>giat</t>
  </si>
  <si>
    <t>2026-Jul</t>
  </si>
  <si>
    <t>2026-Sep Total</t>
  </si>
  <si>
    <t>2026-Oct</t>
  </si>
  <si>
    <t>kafalah</t>
  </si>
  <si>
    <t>hadiah Total</t>
  </si>
  <si>
    <t>Makan</t>
  </si>
  <si>
    <t>tunj ops BPH</t>
  </si>
  <si>
    <t>Halbil Total</t>
  </si>
  <si>
    <t>2026-Oct Total</t>
  </si>
  <si>
    <t>Infaq Total</t>
  </si>
  <si>
    <t>Piutang</t>
  </si>
  <si>
    <t>Infra Total</t>
  </si>
  <si>
    <t>ITB Total</t>
  </si>
  <si>
    <t>IWB Total</t>
  </si>
  <si>
    <t>IWB Setor Total</t>
  </si>
  <si>
    <t>iwb-belum-approve Total</t>
  </si>
  <si>
    <t>Kafalah Total</t>
  </si>
  <si>
    <t>Saldo Awal</t>
  </si>
  <si>
    <t>terima ITB PM 3235</t>
  </si>
  <si>
    <t>Kegiatan Total</t>
  </si>
  <si>
    <t>Konsumsi Total</t>
  </si>
  <si>
    <t>lain-lain Total</t>
  </si>
  <si>
    <t>Lebih bayar Total</t>
  </si>
  <si>
    <t>ops Total</t>
  </si>
  <si>
    <t>Pelatihan Total</t>
  </si>
  <si>
    <t>Pinjam Total</t>
  </si>
  <si>
    <t>Pengembalian hutang ust Muhsinin</t>
  </si>
  <si>
    <t>Pinjaman Total</t>
  </si>
  <si>
    <t>Lain-Lain</t>
  </si>
  <si>
    <t>Pinjaman Sekolah Digital</t>
  </si>
  <si>
    <t>2026-Apr</t>
  </si>
  <si>
    <t>Giat</t>
  </si>
  <si>
    <t>Pulsa</t>
  </si>
  <si>
    <t>2026-Jun</t>
  </si>
  <si>
    <t>Rakercab Total</t>
  </si>
  <si>
    <t>refund Total</t>
  </si>
  <si>
    <t>Reimburse Total</t>
  </si>
  <si>
    <t>Rekonsil Total</t>
  </si>
  <si>
    <t>Saldo Akhir</t>
  </si>
  <si>
    <t>Rutin Total</t>
  </si>
  <si>
    <t>reimburse dari reza salah bayar ITB</t>
  </si>
  <si>
    <t>Saldo Total</t>
  </si>
  <si>
    <t>Salkir Total</t>
  </si>
  <si>
    <t>salurkan ITB Total</t>
  </si>
  <si>
    <t>Taawun Total</t>
  </si>
  <si>
    <t>Tahunan Total</t>
  </si>
  <si>
    <t>talangan giat humas Total</t>
  </si>
  <si>
    <t>talangan Mustopa Total</t>
  </si>
  <si>
    <t>talangan studium generale Total</t>
  </si>
  <si>
    <t>topup Total</t>
  </si>
  <si>
    <t>Transport Total</t>
  </si>
  <si>
    <t>tunai Total</t>
  </si>
  <si>
    <t>Tunj Aleg Total</t>
  </si>
  <si>
    <t>Tunj Ops Total</t>
  </si>
  <si>
    <t>Tunj Ops BPH Total</t>
  </si>
  <si>
    <t>Tunjangan Ramadhan Total</t>
  </si>
  <si>
    <t>UNKNOWN Total</t>
  </si>
  <si>
    <t>Yayasan Total</t>
  </si>
  <si>
    <t>bayar ITB PM 3235 Jan</t>
  </si>
  <si>
    <t>Bayar giat</t>
  </si>
  <si>
    <t>Yayasan Teras Quran</t>
  </si>
  <si>
    <t>Lebih bayar PM3203</t>
  </si>
  <si>
    <t>Nurul Ikhwat</t>
  </si>
  <si>
    <t>Reimburse design kantor dan ngafe</t>
  </si>
  <si>
    <t>Total IWB</t>
  </si>
  <si>
    <t>PARA UPA</t>
  </si>
  <si>
    <t>Kafalah Asep Irawan Feb25</t>
  </si>
  <si>
    <t>Asep Irawan</t>
  </si>
  <si>
    <t>Santunan Bencana Bu Tita</t>
  </si>
  <si>
    <t>Tita Fatimah</t>
  </si>
  <si>
    <t>Spanduk Tarhib dan rapat humas</t>
  </si>
  <si>
    <t>Efa Bagus</t>
  </si>
  <si>
    <t>Reimburse Rapat</t>
  </si>
  <si>
    <t>Kartikasari</t>
  </si>
  <si>
    <t>trf ops</t>
  </si>
  <si>
    <t>setor tunai dari sertijab</t>
  </si>
  <si>
    <t>matsui</t>
  </si>
  <si>
    <t>Ops dari DPD</t>
  </si>
  <si>
    <t>Support DPRa Mar25</t>
  </si>
  <si>
    <t>Support Ramadhan DPRa</t>
  </si>
  <si>
    <t>Beli AC</t>
  </si>
  <si>
    <t>Support beli AC</t>
  </si>
  <si>
    <t>Imam Musanto</t>
  </si>
  <si>
    <t>Ops Banjir</t>
  </si>
  <si>
    <t>rapat dan bukber pandu</t>
  </si>
  <si>
    <t>Khairul Umam</t>
  </si>
  <si>
    <t>Talangan dari Reza</t>
  </si>
  <si>
    <t>Pinjaman dari Reza</t>
  </si>
  <si>
    <t>Reimburse Asep</t>
  </si>
  <si>
    <t>Topup</t>
  </si>
  <si>
    <t>Hari bersama AlQuran</t>
  </si>
  <si>
    <t>Katrina</t>
  </si>
  <si>
    <t>Talangan kegiatan kaderisasi</t>
  </si>
  <si>
    <t>Fwd BMS Budi Susetyo</t>
  </si>
  <si>
    <t>THR Kang Asep</t>
  </si>
  <si>
    <t>Kiswatul Ied Aromil</t>
  </si>
  <si>
    <t>Pengembalian talangan Kaderisasi</t>
  </si>
  <si>
    <t>Pengembalian talangan reza 2.3jt 10 Mar</t>
  </si>
  <si>
    <t>Pengembalian talangan reza 2jt 10 Mar</t>
  </si>
  <si>
    <t>cetak stiker untuk depan kantor</t>
  </si>
  <si>
    <t>Efaningsih</t>
  </si>
  <si>
    <t>Pengembalian pinjaman Muhsinin F</t>
  </si>
  <si>
    <t>Beli Buku pak Sadulah</t>
  </si>
  <si>
    <t>Sumbangan dari Kubub</t>
  </si>
  <si>
    <t>Kubub</t>
  </si>
  <si>
    <t>Belasungkawa Ket DPC Cilodong</t>
  </si>
  <si>
    <t>Bea bukber Rumah Putih</t>
  </si>
  <si>
    <t>Backdrop</t>
  </si>
  <si>
    <t>Tambahan kiswatul ied</t>
  </si>
  <si>
    <t>Lebih Bayar PM3241</t>
  </si>
  <si>
    <t>PM3241</t>
  </si>
  <si>
    <t>Ops ke Rek Reza</t>
  </si>
  <si>
    <t>PEngembalian salkir Pak Ali</t>
  </si>
  <si>
    <t>Beli wireless mic</t>
  </si>
  <si>
    <t>setor IWB ke DPD</t>
  </si>
  <si>
    <t>ifthor panziswaf 23-24, angkut paket dari Bang Kholid</t>
  </si>
  <si>
    <t>Pengembalian salkir Pak Ali ke Bend Grup</t>
  </si>
  <si>
    <t>PM4107</t>
  </si>
  <si>
    <t>salkir infaq plstina</t>
  </si>
  <si>
    <t>Anis Anisya 3251</t>
  </si>
  <si>
    <t>koreksi salkir</t>
  </si>
  <si>
    <t>??</t>
  </si>
  <si>
    <t>ops panitia ziswaf</t>
  </si>
  <si>
    <t>Matsui</t>
  </si>
  <si>
    <t>kafalah bulanan Asep</t>
  </si>
  <si>
    <t>reimburse ifthor panziswaf, iuran bulanan 200rb, wifi 277rb</t>
  </si>
  <si>
    <t>konsumsi pandu bantuan banjir ust Anwar</t>
  </si>
  <si>
    <t>Munawir Sajali</t>
  </si>
  <si>
    <t>Rapat DPC &amp; panitia halbil 
- semangka                     67 rb
- keruk                              47 rb
- anggur                           70 rb
- martabak telor @2      74 rb
- martabak manis @2   70 rb
- air mineral                     18 rb
- keripik @2                     16 rb
- kopi                                30 rb</t>
  </si>
  <si>
    <t>Rapat tim survey &amp; ifthor 
- jus                               96 rb
- snack                          80 rb
- kebuli kambing       260 rb
- tisu                              10 rb</t>
  </si>
  <si>
    <t>Pendirian yayasan</t>
  </si>
  <si>
    <t>Indomaret                           95 rb
Batrai alkaline
Kamper toilet
Galon dan air                     40 rb
Gelas kertas &amp; kopi        126 rb</t>
  </si>
  <si>
    <t>Meja laptop</t>
  </si>
  <si>
    <t>Konsumsi pra raker
- snack  30 @10           300 rb
- jus 30                           330 rb
- nasbox padang          697 rb
- air 2 dus + botol           68 rb
- tisu                                  15 rb</t>
  </si>
  <si>
    <t>Perbaikan atas bocor 
Polingkut                 151 rb
Tukang                     200 rb</t>
  </si>
  <si>
    <t>Santunan sakit Mardi dan suami Bu Rini</t>
  </si>
  <si>
    <t>Reimburse giat 13-20 apr</t>
  </si>
  <si>
    <t>Refund kelebihan trf Sutrisno</t>
  </si>
  <si>
    <t>Daeng Akbar</t>
  </si>
  <si>
    <t>Tunjangan DPRa Mar25</t>
  </si>
  <si>
    <t>Dpra</t>
  </si>
  <si>
    <t>Konsumsi rapat DPC</t>
  </si>
  <si>
    <t>DP biaya panitia halbil</t>
  </si>
  <si>
    <t>Ihda Husnayain</t>
  </si>
  <si>
    <t>Topup Rek DPC Reza</t>
  </si>
  <si>
    <t>pengeluaran DPC bulan April 2025
Pulsa Listrik DPC   500 rb
Stok air botol bisto 4
Gelas 1                    125 rb 
Otomatis Radar        85 rb
Tukang pasang      100 rb 
Total                         810 rb</t>
  </si>
  <si>
    <t>Setor IWB ke DPD</t>
  </si>
  <si>
    <t>Support H Kholid</t>
  </si>
  <si>
    <t>Bang Kholid</t>
  </si>
  <si>
    <t>Bantuan bunda Elly</t>
  </si>
  <si>
    <t>Elly Farida</t>
  </si>
  <si>
    <t>Rapat panitia HBH DPC.. 
- snack                           150 rb
- semangka                     65 rb
- salak                               25 rb
- jeruk                               60 rb 
- tisu 2                              24 rb
- kopi²                               35 rb</t>
  </si>
  <si>
    <t>4 Mei 2025
Iyuran wajib                     200 rb
Lampu bolham                105 rb
Total                                  664 rb</t>
  </si>
  <si>
    <t>besuk ust Anwar</t>
  </si>
  <si>
    <t>Zubaika</t>
  </si>
  <si>
    <t>Internet</t>
  </si>
  <si>
    <t xml:space="preserve">apresiasi 2 grup UPA yg lolos proposal pemberdayaan dari pokir pa Hafid @ 350k </t>
  </si>
  <si>
    <t xml:space="preserve">Tita Fatimah, Sri Wulan Wibiyanti </t>
  </si>
  <si>
    <t>Sumbangan konsumsi HBH</t>
  </si>
  <si>
    <t>DPRa Depok</t>
  </si>
  <si>
    <t>DPRa Mampang</t>
  </si>
  <si>
    <t>DPRa Panja</t>
  </si>
  <si>
    <t>DPRa Dejay</t>
  </si>
  <si>
    <t>DPRa Panmas</t>
  </si>
  <si>
    <t>Besuk pak Baron</t>
  </si>
  <si>
    <t>Baron Noorwendo</t>
  </si>
  <si>
    <t>DPRa Panjaru</t>
  </si>
  <si>
    <t>IWB PM4106</t>
  </si>
  <si>
    <t>PM4106</t>
  </si>
  <si>
    <t>Rapat persiapan BPH dpc panitia HBH
- martabak manis 2    60 rb
- martabak telor    2    70 rb
- jus                              170 rb
- makmal                     125 rb</t>
  </si>
  <si>
    <t>Perbaikan Kursi Roda</t>
  </si>
  <si>
    <t>ops Halbil</t>
  </si>
  <si>
    <t>topup Rek DPC Reza</t>
  </si>
  <si>
    <t>parcel buah besuk</t>
  </si>
  <si>
    <t>Taawun ranap Verdian</t>
  </si>
  <si>
    <t>Admin urus kunci apartemen</t>
  </si>
  <si>
    <t>Reimburse DP resto pembubaran panitia halbil</t>
  </si>
  <si>
    <t>Konsumsi meetup humas</t>
  </si>
  <si>
    <t>Amplop apresiasi pembubaran panitia halbil</t>
  </si>
  <si>
    <t>pembubaran panitia halbil</t>
  </si>
  <si>
    <t>Nikahan anak Nurabadi</t>
  </si>
  <si>
    <t>Rapat presentasi hasil survey
BPH DPC - DPRa - kabid
- Snack                           167 rb
- Ongkir                             20 rb
- Jus                               285 rb
- Ongkir                            15 rb
- Air mineral moboto     46 rb</t>
  </si>
  <si>
    <t>Rapat BPH - tim enterpreneur 
- snack                           110 rb
- anggur                            75 rb
- pisang                            18 rb
- jeru                                  47 rb 
- kopi²                               74 rb
- maksi  2 lauk              174 rb 
- keset   2                         30 rb</t>
  </si>
  <si>
    <t>Rapat BPH DPC - BK
- martabak T  2               70 rb
- martabak M                  35 rb
- kripik slondok               16 rb 
- keripik singkong             8 rb
- anggur                            75 rb
- salak                               13 rb
- jeruk  1½                        40 rb
- makmal                       120 rb</t>
  </si>
  <si>
    <t>PBB DPC</t>
  </si>
  <si>
    <t>Beli meja kafe</t>
  </si>
  <si>
    <t>Indomaret
- kamper                           55 rb
Rapat DPC - DPRa
- GO-JEK                          20 rb
Pinjam LCD DPD
Batu mic alkaline              36 rb
Indomaret                           54 rb
- Kamper toilet 
Lazada                              166 rb
- mic yamaha 
Lazada                              176 rb
wireless mic  
( pa Verdian  ) 
Lalamov                           250 rb  
- angkut meja &amp; kursi</t>
  </si>
  <si>
    <t>Konsumsi pra raker</t>
  </si>
  <si>
    <t>kopi sevel raker</t>
  </si>
  <si>
    <t>token listrik</t>
  </si>
  <si>
    <t>duplikat kunci</t>
  </si>
  <si>
    <t>Ops pembagian BKKD
Konsumsi
7000× 35= 245.000
Cetak yys= 12.000
2 pack Amplop = 60.000
Operasional =150.000
Total 467.000</t>
  </si>
  <si>
    <t>Bu Eka</t>
  </si>
  <si>
    <t>Rapat tim pa baron BK &amp; tim PKS muda
- snack                          120 rb
- buah² an                     160 rb
- tisu                                 10 rb
- air botol                         23 rb
- kopi²                               25 rb
Indomart 
- spidol &amp; penghapus    25 rb
( Acc pa ilham  )</t>
  </si>
  <si>
    <t>Bayar IWB</t>
  </si>
  <si>
    <t>Rapat BK
- snack                           120 rb
- jeruk                               47 rb
- nanggis                         35 rb
- anggur                           75 rb
- air botol                         21 rb
( acc pa ilham  )</t>
  </si>
  <si>
    <t>tunjangan ops dari DPD</t>
  </si>
  <si>
    <t>- iyuran wajib                200 rb
- internet DPC               278 rb</t>
  </si>
  <si>
    <t>Rapat tim Panitia lomba skripsi 
- snack                           120 rb
- buah² an                      154 rb
- air mineral                     20 rb
- kopi²                               45 rb
- maksi                           150 rb
( Acc pa ilham  )</t>
  </si>
  <si>
    <t>tunjangan ops 6 DPRa Mei 25</t>
  </si>
  <si>
    <t>Kafalah bulanan Asep</t>
  </si>
  <si>
    <t>ops BMS</t>
  </si>
  <si>
    <t>Rapat DPC
martabak
-  manis Dan telor       55 rb                    
- buah² an                  150 rb
Stok air botol   3            60 rb
Total                              265 rb</t>
  </si>
  <si>
    <t>Biaya Qurban Nurabadi</t>
  </si>
  <si>
    <t>Nur Abadi</t>
  </si>
  <si>
    <t>Kekurangan biaya Qurban Nurabadi</t>
  </si>
  <si>
    <t>Kekurangan reimburse</t>
  </si>
  <si>
    <t xml:space="preserve">Beli
- mejikom Sharp           357 rb 
- kompor rinai               291 rb
( CC pa ilham  ) </t>
  </si>
  <si>
    <t>Rapat BPH DPC Dan Bidang-bidang
- martabak telor            35 rb
- martabak manis         30 rb
- buah² an                     152 rb
- soto daging  ( free ) 
- pecel ayam 4               80 rb
- stok air 3                      69 rb</t>
  </si>
  <si>
    <t>Reimbuse rapat 3 Jun</t>
  </si>
  <si>
    <t>- parcesl buah               200 rb  
( pa IBH ka DPD  )</t>
  </si>
  <si>
    <t>Colokan + kombinasi       86 rb
( rakit sendiri  )</t>
  </si>
  <si>
    <t>Beli hape ops Siape Aje</t>
  </si>
  <si>
    <t>Faisal Hakim</t>
  </si>
  <si>
    <t>Support rihlah KSN</t>
  </si>
  <si>
    <t>Ning Zuraidah</t>
  </si>
  <si>
    <t>Raker DPC - DPRa para seksi
- snack                           320 rb
- buah- buahan             310 rb
- tisu 3                              26 rb  
- tusuk sate                     15 rb
- tomat                   .         10 rb
- cabe                               10 rb
- bawang                          10 rb
- mangkok pelastik        25 rb
- sendok pelastik            20 rb
- piring pelastik               20 rb</t>
  </si>
  <si>
    <t xml:space="preserve">Stok air 10                        200 rb
(  pa nasrul ) </t>
  </si>
  <si>
    <t>Pinjaman Sekr Dejay utk Suhendi</t>
  </si>
  <si>
    <t>talangan giat pelatihan khotib</t>
  </si>
  <si>
    <t>beli 4 kursi</t>
  </si>
  <si>
    <t>Biaya masak rakercab
Bumbu+ perlengkapan 200.000
Buras 30=300.000
Ongkos masak 150.000
Ongkir 30.000
Total 680.000</t>
  </si>
  <si>
    <t>beli air cleo 10</t>
  </si>
  <si>
    <t>bea kopi rakercab</t>
  </si>
  <si>
    <t>Rapat tim panitia lomba Sekripsi 
- snack                           120 rb
- buah² an                      150 rb</t>
  </si>
  <si>
    <t xml:space="preserve">Reses bang kholid
Tambah jus                      170 rb
( pa veridan  ) </t>
  </si>
  <si>
    <t>beli pemanas air minum</t>
  </si>
  <si>
    <t>Jito</t>
  </si>
  <si>
    <t>23 - juni 2025
Listrik                                     200 rb
Santunan yatim (lingkungan) 100 rb
Total                         300 rb</t>
  </si>
  <si>
    <t>reimburse cleo Asep</t>
  </si>
  <si>
    <t>Reimburse asep 21 Jun 2025</t>
  </si>
  <si>
    <t>Ambulans anak pak Kamal</t>
  </si>
  <si>
    <t>Nur Ikhwanto</t>
  </si>
  <si>
    <t>Sumbangan reses Bang Kholid</t>
  </si>
  <si>
    <t>Konsumsi rapat sie kepanduan</t>
  </si>
  <si>
    <t>Ijal</t>
  </si>
  <si>
    <t>ops Kesos</t>
  </si>
  <si>
    <t>Taawun M Kamal n Ridwan Zul</t>
  </si>
  <si>
    <t>Kafalah bulanan</t>
  </si>
  <si>
    <t>Reimburse Asep 23 Jun 3 Jul</t>
  </si>
  <si>
    <t>Iuran wajib perumahan</t>
  </si>
  <si>
    <t>6 Juli 2025
Rapat kabid &amp; BPH DPC
Pempek         ( pa ilham  )
+ timun &amp; mie                     17 k
Jus                                     126 k
Ongkir                                  17 k
Tisu 3                                   20 k
Stok kopi                          100 k
Stok air Cleo botol          200 k</t>
  </si>
  <si>
    <t>Belanja indomaret            67 k
- kamper toilet 
- pewangi ruangan
- prostex toilet</t>
  </si>
  <si>
    <t>Rapat SPKK - UPKK
Konsumsi bu ika              300 k</t>
  </si>
  <si>
    <t>7 juni 2025
Rapat koordinasi 
Pematangan renovasi 
Dan operasional cafe
- pa verdian
- pa Faisal
- pa agus
- pa Gunawan
- Asep 
Makai pecel ayam            150 k</t>
  </si>
  <si>
    <t>Reimburse Asep 6-7 Jul 2025</t>
  </si>
  <si>
    <t>Tunjangan ops DPC DPRa</t>
  </si>
  <si>
    <t>Nurjanah</t>
  </si>
  <si>
    <t>Distribusi Tunjangan</t>
  </si>
  <si>
    <t>Pelatihan video dan AI</t>
  </si>
  <si>
    <t>Krisna</t>
  </si>
  <si>
    <t>Topup ops</t>
  </si>
  <si>
    <t>Ops SPKK</t>
  </si>
  <si>
    <t>Mayasari</t>
  </si>
  <si>
    <t>Taawun Bu Zubaika</t>
  </si>
  <si>
    <t>Bayar Internet</t>
  </si>
  <si>
    <t>Reimburse rapat</t>
  </si>
  <si>
    <t>Faisal</t>
  </si>
  <si>
    <t>Tambah buffer Asep</t>
  </si>
  <si>
    <t>Topup Asep</t>
  </si>
  <si>
    <t>Support Majelis Pembinaan Anak</t>
  </si>
  <si>
    <t>Diana L</t>
  </si>
  <si>
    <t>Hafid Nasir</t>
  </si>
  <si>
    <t>Beli Gas 3kg</t>
  </si>
  <si>
    <t>Kantor</t>
  </si>
  <si>
    <t>SiapeAje</t>
  </si>
  <si>
    <t>Tunjangan dari Bu Iin</t>
  </si>
  <si>
    <t>Bu Iin</t>
  </si>
  <si>
    <t>Rapat bidang BPJE &amp; Ka DPC... 
Mie ayam bakso               102 k
Kelapa muda                       72 k</t>
  </si>
  <si>
    <t>SPJE</t>
  </si>
  <si>
    <t>Cicilan Hutang</t>
  </si>
  <si>
    <t>Dana hibah</t>
  </si>
  <si>
    <t>Pulsa listrik DPC               203 k</t>
  </si>
  <si>
    <t>Onglos senam 27 Jul</t>
  </si>
  <si>
    <t>Elda</t>
  </si>
  <si>
    <t>Rapat bidang pertanian &amp; ka DPC 
Kelap bulat                           72 k
Snack                                    45 k</t>
  </si>
  <si>
    <t>Bid Tani</t>
  </si>
  <si>
    <t>Rekap penerimaan IWB 30Jun-26Jul</t>
  </si>
  <si>
    <t xml:space="preserve">Setor IWB </t>
  </si>
  <si>
    <t>Rapat gabungan persiapan 
Senam &amp; reses pa Hafid
- snack                               80 k 
- buah² an                          97 k
- tisu  2                               24 k
- kelapa bulat                    84 k</t>
  </si>
  <si>
    <t>Reses</t>
  </si>
  <si>
    <t>Rapat warung siaPe aJE
Snack                                  40 k
Makan Malam                   105 k
Stok tisu  2                          24 k</t>
  </si>
  <si>
    <t xml:space="preserve">Agenda senam.. 
Pengamanan dan parkiran perumahan 
Security perumahan 2 orang dan security ruko 2 orang
Masing-masing 50 k        200 k
(  Acc pa ilham  ) </t>
  </si>
  <si>
    <t>Tambahan makan siang padang 13 @18 k  234 k
(  cc pa ilham  )</t>
  </si>
  <si>
    <t>Reimburse Asep 19-27 Jul</t>
  </si>
  <si>
    <t>Program Tani DPC</t>
  </si>
  <si>
    <t>Suroto/Lusiana</t>
  </si>
  <si>
    <t>Studi banding prokim 750rb. lebih bayar</t>
  </si>
  <si>
    <t>Topup Ops</t>
  </si>
  <si>
    <t>Uang duka laka Cimanggis</t>
  </si>
  <si>
    <t>Adhi Prayogi</t>
  </si>
  <si>
    <t>Listrik DPC                         203 k
Stok air Cleo 10                200 k</t>
  </si>
  <si>
    <t>DPC</t>
  </si>
  <si>
    <t>Kafalah instruktur senam</t>
  </si>
  <si>
    <t>Kafalah tim support senam</t>
  </si>
  <si>
    <t>Rapat ka DPC - para pembimbing... 
Siomay &amp; es oyen            234 k</t>
  </si>
  <si>
    <t>Teruskan titipan donasi Palestina ke ZS</t>
  </si>
  <si>
    <t>Pengembalian lebih bayar Prokim</t>
  </si>
  <si>
    <t xml:space="preserve">Ateker AC satu set             78 k
Teknisi                                150 k </t>
  </si>
  <si>
    <t>Iyuran wajib                       200 k</t>
  </si>
  <si>
    <t>Internet DPC                     333 k</t>
  </si>
  <si>
    <t>Transpor giat ke Bogor</t>
  </si>
  <si>
    <t>Perbaikan arus listrik yang konslet 
Belanja NCB dll        315 k
Jasa teknisi              150 k</t>
  </si>
  <si>
    <t>Kafalah Asep</t>
  </si>
  <si>
    <t>Reimburse Asep 29 Jul-3 Aug</t>
  </si>
  <si>
    <t>Tunj Ops DPC DPRa Jul25</t>
  </si>
  <si>
    <t>Tunj Ops DPRa Jul25</t>
  </si>
  <si>
    <t>Reimburse SiapeAje Cafe</t>
  </si>
  <si>
    <t>Tunj Ops Aleg</t>
  </si>
  <si>
    <t>Tunj Ops DPC DPRa Aug25</t>
  </si>
  <si>
    <t>Tunj Ops DPRa Aug25</t>
  </si>
  <si>
    <t>Taawun orangtua Joko Sugiyarto</t>
  </si>
  <si>
    <t>dana untuk modal bazaar CFD</t>
  </si>
  <si>
    <t>Pinjaman pelunasan hutang Mustopa</t>
  </si>
  <si>
    <t>Dini Kurnianing</t>
  </si>
  <si>
    <t>- ambil kulkas ke cibubur 
BBM                             50 k
- pulsa listrik          203 k
- radar otomatis      80 k
- jasa tukang         100 k
- keran wastafel      60 k
- siltif                           5 k</t>
  </si>
  <si>
    <t>Santunan walimah anak Pak Mardi</t>
  </si>
  <si>
    <t>Mardi</t>
  </si>
  <si>
    <t xml:space="preserve">Stok air Cleo 10                200 k
Duplikat kunci 3                  45 k
Pulsa Listrik                      200 k </t>
  </si>
  <si>
    <t>Bea lomba review makanan warung</t>
  </si>
  <si>
    <t>Topup kas SPKK</t>
  </si>
  <si>
    <t>salah kirim reimburse ke Asep</t>
  </si>
  <si>
    <t>pengembalian dari Asep</t>
  </si>
  <si>
    <t>reimburse infra</t>
  </si>
  <si>
    <t>Santunan sakit Yosep Duriat</t>
  </si>
  <si>
    <t>Chairunnisa (Istri Yosep)</t>
  </si>
  <si>
    <t xml:space="preserve">setor IWB </t>
  </si>
  <si>
    <t>perbaikan listrik
Rincian pekerja 
1. Saklar seri Rp. 18.000
2. Saklar triple Rp. 25.000
3. Kamper Rp. 27.500
4. Tenaga Rp. 150.000
Total  Rp. 220.500</t>
  </si>
  <si>
    <t>Beli 150 buku
(6 bulan gak habis bisa dikembalikan)</t>
  </si>
  <si>
    <t>Itishom</t>
  </si>
  <si>
    <t>Pengembalian talangan</t>
  </si>
  <si>
    <t>Mustopa</t>
  </si>
  <si>
    <t>Talangan giat studium generale</t>
  </si>
  <si>
    <t>Diana</t>
  </si>
  <si>
    <t>Rapat BPH DPC - Spje - tim warung 
Kelapa bulat 5                     75 k
Snack                                  45 k
Pecel lele                             95 k</t>
  </si>
  <si>
    <t>ops pandu Sep25</t>
  </si>
  <si>
    <t>Iyuran wajib                       200 k    
Internet                              338 k</t>
  </si>
  <si>
    <t>ops humas</t>
  </si>
  <si>
    <t>Efa</t>
  </si>
  <si>
    <t>talangan bedah buku</t>
  </si>
  <si>
    <t>Khairul Rakhman</t>
  </si>
  <si>
    <t>Honor Bulanan Asep</t>
  </si>
  <si>
    <t>reimburse Asep</t>
  </si>
  <si>
    <t>Pulsa listrik              203 k</t>
  </si>
  <si>
    <t>Stok air Cleo  10      200 k</t>
  </si>
  <si>
    <t>Splitter                         95 k</t>
  </si>
  <si>
    <t>Rapat BPH DPC - BK
Bu angga, pa hamdi, ust Adriana 
- jus nusantara      169 k
- makmal                100 k
- martabak                88 k
- buah2 an              100 k</t>
  </si>
  <si>
    <t>BK</t>
  </si>
  <si>
    <t>honor pengamanan kantor</t>
  </si>
  <si>
    <t>Pengumuman pemenang  lomba UMKM (  humas  ) 
- batrai alkaline      83 k</t>
  </si>
  <si>
    <t>Humas</t>
  </si>
  <si>
    <t>reimburse pengeluaran Asep</t>
  </si>
  <si>
    <t>santunan uang duka wafatnya Yosep Duriat</t>
  </si>
  <si>
    <t>taawun</t>
  </si>
  <si>
    <t>28 aug snack acara Pak Imam 350k, 23 Aug 157k, 3 Sep 70k, 4 Sep 216k</t>
  </si>
  <si>
    <t>Faisal H</t>
  </si>
  <si>
    <t>konsumsi giat SPJE 10 Sep</t>
  </si>
  <si>
    <t>beli bahan bangunan kantor dpc</t>
  </si>
  <si>
    <t>tunj ops Kesos</t>
  </si>
  <si>
    <t>Rihlah Ilham n istri bersama SPKK</t>
  </si>
  <si>
    <t>tunj Ops Humas</t>
  </si>
  <si>
    <t>ops SPKK</t>
  </si>
  <si>
    <t>pengembalian bedah buku + profit</t>
  </si>
  <si>
    <t>konsumsi rapat 16 Sep
BPH 146rb
Bid Tani 113rb</t>
  </si>
  <si>
    <t>Perbaikan kantor</t>
  </si>
  <si>
    <t>Ops DPC DPRa Sep 25</t>
  </si>
  <si>
    <t>Ops DPRa Sep 25</t>
  </si>
  <si>
    <t>Konsumsi rapat BPH</t>
  </si>
  <si>
    <t>Ops Kesos Okt25</t>
  </si>
  <si>
    <t>Taawun ust Khozin</t>
  </si>
  <si>
    <t>Taawun ambulans Bu Hartati</t>
  </si>
  <si>
    <t>Ops Humas Okt 25, 250k
Bantu perpanjang Capcut, 350k</t>
  </si>
  <si>
    <t>Taawun pengobatan anak Verdian</t>
  </si>
  <si>
    <t>Sewa bus</t>
  </si>
  <si>
    <t>Asep Tahyudin</t>
  </si>
  <si>
    <t>Maksi giat SPJE 8 Okt</t>
  </si>
  <si>
    <t>Nasrul</t>
  </si>
  <si>
    <t>Perbaikan mesin air kantor</t>
  </si>
  <si>
    <t>Perbaikan listrik kantor</t>
  </si>
  <si>
    <t>Ops sie SPKK</t>
  </si>
  <si>
    <t>Bayar PLN ganti meter</t>
  </si>
  <si>
    <t>Bayar PLN Lagi</t>
  </si>
  <si>
    <t>Total IWB belum di-approve</t>
  </si>
  <si>
    <t>Tunj Ops dari DPD</t>
  </si>
  <si>
    <t>Setor IWB Okt 25</t>
  </si>
  <si>
    <t>Pengembalian dana Poktan</t>
  </si>
  <si>
    <t>Suroto</t>
  </si>
  <si>
    <t>Tunj Ops ke DPRa</t>
  </si>
  <si>
    <t xml:space="preserve">Laporan bulan Oktober 2025
listrik DPC                        203 k
Ayam penyet      
( tukang  )                           18 k
Ayam penyet dan kopi
( p kosim PLN)                   23 k
Teknisi PLN                         50 k
( acc pa ilham) </t>
  </si>
  <si>
    <t>Konsumsi giat kepanduan 26Okt</t>
  </si>
  <si>
    <t xml:space="preserve">Laporan bulan Oktober 2025
Rpat 2 kali 
BPH, poktan, yaysan
Sekertariatan                    220 k
</t>
  </si>
  <si>
    <t>kirim lagi data Poktan</t>
  </si>
  <si>
    <t>Tunjangan Aleg</t>
  </si>
  <si>
    <t>25 okt 2025
Rapat, BPH DPC, spje, kepemudaan, tamu pengusaha Turki 
Warung siape Aje    344.000</t>
  </si>
  <si>
    <t>ongkos material gedung DPC</t>
  </si>
  <si>
    <t>reimburse konsumsi</t>
  </si>
  <si>
    <t>Pinjaman bea operasi Falih</t>
  </si>
  <si>
    <t>ops sie Kesos Nov25</t>
  </si>
  <si>
    <t>Taawun anak Ilham 350</t>
  </si>
  <si>
    <t>Taawun Mahmudin</t>
  </si>
  <si>
    <t>Mahmudin</t>
  </si>
  <si>
    <t>Kena titipan ITB dll PM3204</t>
  </si>
  <si>
    <t>Rantini</t>
  </si>
  <si>
    <t>Konsumsi Raker</t>
  </si>
  <si>
    <t>Utk Bu Ika, diskresi Ka Dpc</t>
  </si>
  <si>
    <t>reimburse Konsumsi Raker 2Nov</t>
  </si>
  <si>
    <t xml:space="preserve">Lalamov hampres            130 k
( ZS ke DPC  ) </t>
  </si>
  <si>
    <t>Pinjaman Pak Sadullah</t>
  </si>
  <si>
    <t>perbaikan gedung dpc</t>
  </si>
  <si>
    <t>Ops Humas Nov25</t>
  </si>
  <si>
    <t xml:space="preserve">Rapat 
Bidang : BPH DPC, pa Baron &amp; pa husnajat 
Warung siape aje             113 k
Rapat
Bidang : kesekertariatan 
Makan, pecel lele               60 k
</t>
  </si>
  <si>
    <t>Pengembalian Pinjaman Sadullah</t>
  </si>
  <si>
    <t>Listrik DPC</t>
  </si>
  <si>
    <t>reimburse asep</t>
  </si>
  <si>
    <t>bea tim sekuriti giat Madya</t>
  </si>
  <si>
    <t>Agung H</t>
  </si>
  <si>
    <t xml:space="preserve">Rapat BPH dan ketua RT 04/19
- nasi goreng 4            60 k
- susu jahe                   32 k
- snack                          45 k
Bekel pa rt  ( di bawa ke rumah  ) 
- Beras                         72  k 
- indomie                      18 k
( arahan pa ilham  ) </t>
  </si>
  <si>
    <t>Rapat pa ilham dan tamu 
Warung siape aje           84 k</t>
  </si>
  <si>
    <t>Kirim balik titipan ITB dll PM3204</t>
  </si>
  <si>
    <t>Yusrizal</t>
  </si>
  <si>
    <t>Total penerimaan IWB 20Okt-20Nov</t>
  </si>
  <si>
    <t>Setor IWB 20Okt-20Nov</t>
  </si>
  <si>
    <t>Pulsa listrik dpc</t>
  </si>
  <si>
    <t>Rapat BPH - tim koprasi DPD 
- warung siape aje        118 k
- rebusan                          20 k
- semangka                      30 k
- pisang                             20 k
- salak                               15 k</t>
  </si>
  <si>
    <t>Beri pinjaman ke Verdian</t>
  </si>
  <si>
    <t>Terima Tunj Ops dari DPD</t>
  </si>
  <si>
    <t>Trf Tunj Ops ke 6 DPRa</t>
  </si>
  <si>
    <t>Rpat BPH DPC, pada pengurus DPC 
Warung siape aje      215 k</t>
  </si>
  <si>
    <t>duplikat kunci Faisal</t>
  </si>
  <si>
    <t>Kapur ajaib</t>
  </si>
  <si>
    <t>Rapat tim Spje, p ilham
Warung siape aje     86 k</t>
  </si>
  <si>
    <t>Ops Kepanduan Nov 25</t>
  </si>
  <si>
    <t>Ops SPKK Nov 25</t>
  </si>
  <si>
    <t>Talangan kegiatan</t>
  </si>
  <si>
    <t>Ops Kesos Des25</t>
  </si>
  <si>
    <t>Iyuran wajib  des     200 k
Internet dpc              338 k</t>
  </si>
  <si>
    <t>Pa ilham 
Warung siape aje      37 k</t>
  </si>
  <si>
    <t>Bayarkan ITB PM3206 Jun, Agus</t>
  </si>
  <si>
    <t>ActionPay</t>
  </si>
  <si>
    <t>Bayarkan ITB PM3206 Mei</t>
  </si>
  <si>
    <t>Transport ke rumah Tony</t>
  </si>
  <si>
    <t>Konsumsi panitia parenting</t>
  </si>
  <si>
    <t>Ops Humas Des25</t>
  </si>
  <si>
    <t>Total penerimaan IWB 20Nov-20Dec</t>
  </si>
  <si>
    <t>Setor IWB 20Nov-20Dec</t>
  </si>
  <si>
    <t>konsumsi penerimaan SK PIP</t>
  </si>
  <si>
    <t>Lalamov air bisto            129 k</t>
  </si>
  <si>
    <t>Pulsa listrik dpc               203 k</t>
  </si>
  <si>
    <t>Lalamov karpet                100 k
Loundry  karpet                500 k</t>
  </si>
  <si>
    <t>Rapat BPH DPC + pembimbing utama 
Nasi box padang              220 k
Jus                                      183 k
Warung siape aje             173 k</t>
  </si>
  <si>
    <t>Refund salah kirim PM3206</t>
  </si>
  <si>
    <t>External</t>
  </si>
  <si>
    <t>salkir</t>
  </si>
  <si>
    <t>25 des 2025
Rapat koordinasi 
pa ilham, pa pulung , tamu
Kopi sevel  3               21 k
Singkong                     10 k
Piscok                          10 k
Pecel lele                    70 k
Stok tisu 2                  24 k 
Total                          135 k</t>
  </si>
  <si>
    <t>Ke Faisal Hakim</t>
  </si>
  <si>
    <t>reimburse</t>
  </si>
  <si>
    <t>Bea giat olga</t>
  </si>
  <si>
    <t>Koreksi Salkir PM3206</t>
  </si>
  <si>
    <t>- iyuran wajib     200 k
- internet DPC    338 k</t>
  </si>
  <si>
    <t>reimburse Iuran</t>
  </si>
  <si>
    <t>Bidang : BPH DPC + BKAP 
- siomay bandung  85 k
- mie ayam               24 k
- martabak               63 k</t>
  </si>
  <si>
    <t>BPH DPC+BKAP</t>
  </si>
  <si>
    <t>Rapat 
Bidang  : BKAP 
- snack                    100 k
- kopi                         60 k</t>
  </si>
  <si>
    <t>BKAP</t>
  </si>
  <si>
    <r>
      <rPr>
        <rFont val="Arial"/>
        <color theme="1"/>
      </rPr>
      <t xml:space="preserve">Rapat 
Bidang : BPH DPC + ka seksi ka dpra
- snack                   200 k
- jeruk  3 kg              90 k 
- salak 3 kg              45 k
- kopi sevel            </t>
    </r>
    <r>
      <rPr>
        <rFont val="Arial"/>
        <strike/>
        <color theme="1"/>
      </rPr>
      <t>150 k</t>
    </r>
    <r>
      <rPr>
        <rFont val="Arial"/>
        <color theme="1"/>
      </rPr>
      <t xml:space="preserve"> (reimburse prbd)</t>
    </r>
  </si>
  <si>
    <t>BPH DPC</t>
  </si>
  <si>
    <t>Rapat 
Bidang : BPH DPC + ka seksi ka dpra
Poto copy 
- 8 program              44 k</t>
  </si>
  <si>
    <t>Rapat BPH DPC - DPRa para seksi BPPN DPD
- snack  30 @10    300 k
- kopi                         26 k
- tisu 2                       24 k
Total                           350 k</t>
  </si>
  <si>
    <t>Konsumsi temu DPC pembina</t>
  </si>
  <si>
    <t>Reimburse konsumsi 16 Jan</t>
  </si>
  <si>
    <t>Pengamanan temu DPC pembina 18 Jan</t>
  </si>
  <si>
    <t>Agung n Mustopa</t>
  </si>
  <si>
    <t>Sumbangan Rakercab</t>
  </si>
  <si>
    <t>IWB Setor</t>
  </si>
  <si>
    <t>Topup ActionPay Momon</t>
  </si>
  <si>
    <t>Momon</t>
  </si>
  <si>
    <t>actionpay</t>
  </si>
  <si>
    <t>Bayar ITB PM3210 ??x??org</t>
  </si>
  <si>
    <t>Bayar ITB PM3206 2x8org</t>
  </si>
  <si>
    <t>Topup Reza</t>
  </si>
  <si>
    <t>Giat persiapan masuk kuliah</t>
  </si>
  <si>
    <t>Diana Lestari</t>
  </si>
  <si>
    <t>Cicilan Hutang Suhendi</t>
  </si>
  <si>
    <t>Rapat panitia rakercab 
- sncak                           130 k
- indomie telor              140 k
Belanja indomaret            90 k
Tisu dan kamper toilet 
Air biru 2 galon                  18 k</t>
  </si>
  <si>
    <t>Reimburse Rapat Rakercab</t>
  </si>
  <si>
    <t>Panitia rakercab</t>
  </si>
  <si>
    <t>Partilah</t>
  </si>
  <si>
    <t>Rakercab</t>
  </si>
  <si>
    <t>Pengembalian pinjaman Verdian</t>
  </si>
  <si>
    <t>Pengeluaran Rutin DPC</t>
  </si>
  <si>
    <t>Kafalah Feb26</t>
  </si>
  <si>
    <t>Donasi rakercab</t>
  </si>
  <si>
    <t>Tambahan giat Rakercab</t>
  </si>
  <si>
    <t>Bayar ITB PM3209 5 orang x 3 bulan</t>
  </si>
  <si>
    <t>Support kegiatan DPRa Mampang</t>
  </si>
  <si>
    <t>Konsumsi buah rakercab</t>
  </si>
  <si>
    <t>Tambahan konsumsi rakercab</t>
  </si>
  <si>
    <t>Pinjaman ust Muhsin Soleh</t>
  </si>
  <si>
    <t>Reimburse tambahan Rakercab</t>
  </si>
  <si>
    <t>Tunj Ops utk DPRA</t>
  </si>
  <si>
    <t>Grup UPA</t>
  </si>
  <si>
    <t>Salah kirim BMS</t>
  </si>
  <si>
    <t>Efa Afifa</t>
  </si>
  <si>
    <t>Konsumsi rapat Coffee E&amp;S</t>
  </si>
  <si>
    <t>Koreksi Salkir Efa Afifa</t>
  </si>
  <si>
    <t>Transport komdigi ke DPD</t>
  </si>
  <si>
    <t>Transport</t>
  </si>
  <si>
    <t>Kafalah Mar26</t>
  </si>
  <si>
    <t>Perbaikan listrik ( konslet) ganti NCB 
Teknisi dan ncb</t>
  </si>
  <si>
    <t>Internet DPC</t>
  </si>
  <si>
    <t>Takjil on the Road DPRa Depok</t>
  </si>
  <si>
    <t>Siti Nuroniah</t>
  </si>
  <si>
    <t>Lalamov paket aromil</t>
  </si>
  <si>
    <t>Kekurangan kopi             390 k
  ( bu ika minta ke dpc  )</t>
  </si>
  <si>
    <t>Iyuran wajib (ada kenaikan 50k)</t>
  </si>
  <si>
    <t>Giat ramadhan Panjaru</t>
  </si>
  <si>
    <t>Khairul R</t>
  </si>
  <si>
    <t>dukungan Musabaqah Hifzhil Quran</t>
  </si>
  <si>
    <t>THR Security 3 orang</t>
  </si>
  <si>
    <t>Tunj ops Dari DPD</t>
  </si>
  <si>
    <t>Pengambilan paket sembako Bang Kholid dari dpd 
- lalamov                        100 k
- tenaga 3                       300 k</t>
  </si>
  <si>
    <t>Pengambilan paket sembako Bang Kholid dari dpd 
- lalamov                        150 k
- tenaga 3                       300 k</t>
  </si>
  <si>
    <t>pengembalian salkir BMS Nila</t>
  </si>
  <si>
    <t>Rahma W</t>
  </si>
  <si>
    <t>refund</t>
  </si>
  <si>
    <t>salah teruskan BMS Nila</t>
  </si>
  <si>
    <t>Mitra</t>
  </si>
  <si>
    <t>Bea canvassing 6 DPRa</t>
  </si>
  <si>
    <t>Ilham, Ika</t>
  </si>
  <si>
    <t>Pinjam uang Reza karena buru2</t>
  </si>
  <si>
    <t>pinjam</t>
  </si>
  <si>
    <t>pengembalian lebih bayar PM3213</t>
  </si>
  <si>
    <t>Pengeluaran ops panziswaf</t>
  </si>
  <si>
    <t>refund salah kirim BMS Nila</t>
  </si>
  <si>
    <t>Apresiasi keaktifan bbrp pengurus</t>
  </si>
  <si>
    <t>Apresiasi</t>
  </si>
  <si>
    <t>Pengembalian bea canvassing</t>
  </si>
  <si>
    <t>Pengembalian Pinjaman dari Reza</t>
  </si>
  <si>
    <t>Reimburse Asep ops</t>
  </si>
  <si>
    <t>Salkir BMS Bu Dini PM3216</t>
  </si>
  <si>
    <t>Dini PM3216</t>
  </si>
  <si>
    <t>Penerimaan IWB</t>
  </si>
  <si>
    <t>Para UPA</t>
  </si>
  <si>
    <t>Tunj Ops BPH</t>
  </si>
  <si>
    <t>Ilham, Verdian, Reza</t>
  </si>
  <si>
    <t>Teruskan BMS Bu Dini PM3216</t>
  </si>
  <si>
    <t xml:space="preserve">Reza pinjam </t>
  </si>
  <si>
    <t>- iyuran wajib                 250 k</t>
  </si>
  <si>
    <t>- PBB                               366 k</t>
  </si>
  <si>
    <t>Reimburse Pengeluaran Rutin</t>
  </si>
  <si>
    <t>Konsumsi rapat kabid DPC</t>
  </si>
  <si>
    <t>Kembali pinjaman bea operasi Falih</t>
  </si>
  <si>
    <t>Pulsa listrik DPC</t>
  </si>
  <si>
    <t>Konsumsi BPH</t>
  </si>
  <si>
    <t>reimburse konsumsi dan listrik</t>
  </si>
  <si>
    <t>Infaq</t>
  </si>
  <si>
    <t>Konsumsi Halbil</t>
  </si>
  <si>
    <t>Ali Rasyid</t>
  </si>
  <si>
    <t>*Laporan pengeluaran*
*12 april 2026*
HBH DPC - DPRa - pembimbing
- nasbox     ( pak h ali ) 
- pisang                          150 k
- salak                             100 k
- jeruk santang              250 k
Tisu        3                            36 k
Lee mineral botol            189 k</t>
  </si>
  <si>
    <t>listrik</t>
  </si>
  <si>
    <t>kamper toilet pewangi</t>
  </si>
  <si>
    <t>kafalah pandu</t>
  </si>
  <si>
    <t>pandu</t>
  </si>
  <si>
    <t>Apresiasi untuk grup dan pembina berprestasi</t>
  </si>
  <si>
    <t>PM4201, PM4206, PM3218, Anwar N</t>
  </si>
  <si>
    <t>Pdaftaran pelatihan Hilmi Zuhdi</t>
  </si>
  <si>
    <t>Hilmi Zuhdi</t>
  </si>
  <si>
    <t>Pelatihan</t>
  </si>
  <si>
    <t>Reimburse halbil</t>
  </si>
  <si>
    <t>Rapat BPH - tim pa Amri 
- martabak                   63 k
- buah² an                  135 k
- makan malam          85 k</t>
  </si>
  <si>
    <t>Rapat 
Bidang : BKAP &amp; kepemudaan 
- jus                          84 k
- siomay                105 k 
- air Cleo botol        20 k</t>
  </si>
  <si>
    <t>Rapat 
Bidang : BKAP + P2 UPA
Snack  :                 180 k
Air Cleo botol         20 k
Pisan                       45 k</t>
  </si>
  <si>
    <t>Reimburse Konsumsi Rapat 15-19 Apr</t>
  </si>
  <si>
    <t>Tunj Ops DPD</t>
  </si>
  <si>
    <t>Tunj Ops DPRa</t>
  </si>
  <si>
    <t>Rekap IWB</t>
  </si>
  <si>
    <t>GRUP UPA</t>
  </si>
  <si>
    <t>Tunj ops Ka DPC</t>
  </si>
  <si>
    <t>Tunj ops Sekr DPC</t>
  </si>
  <si>
    <t>Tunj ops Bend DPC</t>
  </si>
  <si>
    <t>Taawun anak Verdian</t>
  </si>
  <si>
    <t>Talangan kegiatan sekolah digital</t>
  </si>
  <si>
    <t>Komdigi</t>
  </si>
  <si>
    <t>Rekap Infaq</t>
  </si>
  <si>
    <t>Rekap bank</t>
  </si>
  <si>
    <t>Bank</t>
  </si>
  <si>
    <t>Reza kembalikan pinjaman</t>
  </si>
  <si>
    <t>Kembalikan pinjaman ke Reza</t>
  </si>
  <si>
    <t>Tambahan talangan Sekolah digital</t>
  </si>
  <si>
    <t>PLN</t>
  </si>
  <si>
    <t>Rapat BPH DPC
Jus                            104 k
Siomay                     112 k
Air mineral botol       20 k</t>
  </si>
  <si>
    <t>BPH</t>
  </si>
  <si>
    <t>Reimburse Listrik + rapat 26 apr</t>
  </si>
  <si>
    <t>Transpor untuk pemikat hati</t>
  </si>
  <si>
    <t>Beli langganan Zoom</t>
  </si>
  <si>
    <t>Terima Trf Sekolah Digital</t>
  </si>
  <si>
    <t>Penuntasan Sekolah Digital</t>
  </si>
  <si>
    <t>Talent Mapping</t>
  </si>
  <si>
    <t>Pandu</t>
  </si>
  <si>
    <t>Tunj ops BPH</t>
  </si>
  <si>
    <t>Tunj ops bulanan</t>
  </si>
  <si>
    <t>Bea panitia qurban</t>
  </si>
  <si>
    <t>Nurabadi</t>
  </si>
  <si>
    <t>Reward konten qurban</t>
  </si>
  <si>
    <t>Reimburse Asep Mei</t>
  </si>
  <si>
    <t>Transport besuk anak Efa Komdigi</t>
  </si>
  <si>
    <t>Juarti</t>
  </si>
  <si>
    <t>Uang Duka Sri Utari</t>
  </si>
  <si>
    <t>Bea prakembara</t>
  </si>
  <si>
    <t>Stok air Cleo                       60 k</t>
  </si>
  <si>
    <t>Stok</t>
  </si>
  <si>
    <t>Rapat BKBN
- snack &amp; kopi                 70 k</t>
  </si>
  <si>
    <t>BKBN</t>
  </si>
  <si>
    <t xml:space="preserve">Rapat tim kepanduan
Ayam pecel lele               315 k
Kopi seduh                         40 k </t>
  </si>
  <si>
    <t>Kepanduan</t>
  </si>
  <si>
    <t>Rapat pa ketua dengan tamu 
Siomay                                79 k
Jus                                       78 k</t>
  </si>
  <si>
    <t>Rapat BPH             
Jus                                     144 k
Siomay                              158 k</t>
  </si>
  <si>
    <t>Stok air Cleo                      42 k
Tisu 2                                  22 k</t>
  </si>
  <si>
    <t>Tambahan konsusmi rapat gabungan dengan tim komdigi
Jus 10  @12                      : 120 k   
Bu juarti pecel ayam  :       : 23 k
Warung dpc 
Indomie 8 @12                   : 96 k
Kentang 16 @ 2, 500        :  40 k    
Comro 16 @2, 500             : 40 k
Piscok  16 @2, 500            : 40 k
Kopi  5 @5 k                        : 25 k
Total                                   : 387 k</t>
  </si>
  <si>
    <t>Rapat BPH - DPRa - gabungan 
Snack                       225 k
Kopi seduh 10 @5   50 k
Indomie  5 @12        50 k
Air Cleo  2                  40 k
Total                         365 k</t>
  </si>
  <si>
    <t>Tambahan Nasi Padang</t>
  </si>
  <si>
    <t>Kegiatan Bipeka</t>
  </si>
  <si>
    <t>Kartika Sari</t>
  </si>
  <si>
    <t xml:space="preserve">Reimburse </t>
  </si>
  <si>
    <t>Ops BPH</t>
  </si>
  <si>
    <t>BPH inti</t>
  </si>
  <si>
    <t>Infaq DPC</t>
  </si>
  <si>
    <t>Public Speaking</t>
  </si>
  <si>
    <t>Ngamprah Mampang</t>
  </si>
  <si>
    <t>Lelatul H</t>
  </si>
  <si>
    <t>Beli pulsa hape</t>
  </si>
  <si>
    <t>Bendahara</t>
  </si>
  <si>
    <t>Kafalah Jul26</t>
  </si>
  <si>
    <t xml:space="preserve">Rapat Komdigi
Air botol                              39 k 
pembicara
- nasbox                           23 k
Panitia 
Es milo 3                            21 k
Es teh tarik 3                     21 k
Indomie rebus 6               72 k
Roti bakar  3                      30 k
( acc pa ketua  ) </t>
  </si>
  <si>
    <t>Rapat BPH
Semangka                          53 k
Salak                                    25 k
Pisang                                 35 k
Di warung
- indomie goreng 4         48 k
- indomie rebus 1           12 k
- roti bakar  2                   20 k
- kopi  4                             20 k</t>
  </si>
  <si>
    <t>Rapat , bimbel ( pa hamdi ) 
Snack plus air 25 @12   300 k</t>
  </si>
  <si>
    <t>PAA</t>
  </si>
  <si>
    <t>Iuran wajib ruko</t>
  </si>
  <si>
    <t>Hape Komdigi</t>
  </si>
  <si>
    <t>Donasi Harganas</t>
  </si>
  <si>
    <t>Iyos Rosita</t>
  </si>
  <si>
    <t>Salma Arifah</t>
  </si>
  <si>
    <t>Unknown</t>
  </si>
  <si>
    <t>Albizar Garibaldi</t>
  </si>
  <si>
    <t>Giat Harganas</t>
  </si>
  <si>
    <t>Bipeka</t>
  </si>
  <si>
    <t>Rapat 
Bidang : BKAP ( ust agung  ) 
Snack                           99 k
Siomay                      240 k
Tisu                              12 k
Air mineral                  17 k
Kopi tuku  ( bayar sendiri  )</t>
  </si>
  <si>
    <t>bensin giat bipeka</t>
  </si>
  <si>
    <t>reza</t>
  </si>
  <si>
    <t>urban farming</t>
  </si>
  <si>
    <t>tani</t>
  </si>
  <si>
    <t>Stok Air Cleo</t>
  </si>
  <si>
    <t>Rapat pak ketua, tamu 
- siomay               60 k
- jus                       36 k</t>
  </si>
  <si>
    <t>Ketua</t>
  </si>
  <si>
    <t>- iyurian wajib    250 k
- internet DPC   335 k</t>
  </si>
  <si>
    <t>Rapat gabungan
Buah² an               185 k
- jeruk 
- salak
- pisang 
- anggur 
- semangaka
air Cleo   2              44  k
Tisu                          11 k</t>
  </si>
  <si>
    <t>Rapat BPH DPC - LPK mina kazoku
- martabak manis &amp; telor     58 k
- aneka jus                              84 k
- air celo                                  22 k</t>
  </si>
  <si>
    <t>Rapat BPH DPC - para seksi
- siomay                                216 k
- jus                                        136 k
- tisu                                         12 k
- air Cleo                                  22 k</t>
  </si>
  <si>
    <t>Kegiatan 25 Ag</t>
  </si>
  <si>
    <t>kegiatan</t>
  </si>
  <si>
    <t>Pilox buat Cat</t>
  </si>
  <si>
    <t>Rapat BPH DPC - para seksi 
- snack                     150 k
- jus                           176 k
- maksi                     222 k
- air Cleo                     20 k
- tisu                            10 k</t>
  </si>
  <si>
    <t>- batrai                        45 k
Mic &amp; remot Ac</t>
  </si>
  <si>
    <t>Kosongkan Rek Donasi</t>
  </si>
  <si>
    <t>Rapat 
Bidang : komdigi ( pelatihan ditital IA BPH dan pengurus seksi, komdigi DPRa  ) 
- snack box 25 @15 k   375 k
- air mineral                      20 k</t>
  </si>
  <si>
    <t>Rapat 
Bidang : Kesos ( bu juarti para panita,dokter ) 
- Sncak                             45 k
- jus                                   54 k
- tisu                                 12 k
- air mineral                     20 k
- mie ayam bakso          75 k
- padang 2 lauk 5 porsi 77 k</t>
  </si>
  <si>
    <t>Kesos</t>
  </si>
  <si>
    <t>Listrik DPC                       103 k</t>
  </si>
  <si>
    <t>Iyuran wajib ruko            250 k</t>
  </si>
  <si>
    <t>Internet DPC                    335 k</t>
  </si>
  <si>
    <t>pelatihan AI dan lomba video</t>
  </si>
  <si>
    <t>Olahraga</t>
  </si>
  <si>
    <t>Ops DPRa Sep26</t>
  </si>
  <si>
    <t>Para DPRa</t>
  </si>
  <si>
    <t>Rekap Setor IWB</t>
  </si>
  <si>
    <t>Total NTT</t>
  </si>
  <si>
    <t>Setor NTT</t>
  </si>
  <si>
    <t>Rekap infaq</t>
  </si>
  <si>
    <t>Topup Rekening Reza</t>
  </si>
  <si>
    <t>Talangan pra latansa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</si>
</sst>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"/>
    <numFmt numFmtId="165" formatCode="[$Rp]#,##0"/>
    <numFmt numFmtId="166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165" xfId="0" applyAlignment="1" applyFont="1" applyNumberFormat="1">
      <alignment horizontal="left" readingOrder="0" shrinkToFit="0" vertical="top" wrapText="1"/>
    </xf>
    <xf borderId="0" fillId="0" fontId="1" numFmtId="165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165" xfId="0" applyFont="1" applyNumberFormat="1"/>
    <xf borderId="0" fillId="0" fontId="1" numFmtId="0" xfId="0" applyAlignment="1" applyFont="1">
      <alignment vertical="top"/>
    </xf>
    <xf borderId="0" fillId="0" fontId="1" numFmtId="0" xfId="0" applyFont="1"/>
    <xf borderId="0" fillId="0" fontId="1" numFmtId="164" xfId="0" applyAlignment="1" applyFont="1" applyNumberFormat="1">
      <alignment readingOrder="0" shrinkToFit="0" vertical="top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165" xfId="0" applyAlignment="1" applyFont="1" applyNumberFormat="1">
      <alignment readingOrder="0" shrinkToFit="0" vertical="top" wrapText="0"/>
    </xf>
    <xf borderId="0" fillId="0" fontId="1" numFmtId="165" xfId="0" applyAlignment="1" applyFont="1" applyNumberFormat="1">
      <alignment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165" xfId="0" applyAlignment="1" applyFont="1" applyNumberFormat="1">
      <alignment readingOrder="0" shrinkToFit="0" vertical="top" wrapText="1"/>
    </xf>
    <xf borderId="0" fillId="0" fontId="1" numFmtId="49" xfId="0" applyFont="1" applyNumberFormat="1"/>
    <xf borderId="0" fillId="0" fontId="1" numFmtId="49" xfId="0" applyAlignment="1" applyFont="1" applyNumberFormat="1">
      <alignment readingOrder="0" shrinkToFit="0" vertical="top" wrapText="0"/>
    </xf>
    <xf borderId="0" fillId="0" fontId="1" numFmtId="49" xfId="0" applyAlignment="1" applyFont="1" applyNumberFormat="1">
      <alignment shrinkToFit="0" vertical="top" wrapText="1"/>
    </xf>
    <xf borderId="0" fillId="0" fontId="1" numFmtId="165" xfId="0" applyFont="1" applyNumberFormat="1"/>
    <xf borderId="0" fillId="0" fontId="2" numFmtId="165" xfId="0" applyAlignment="1" applyFont="1" applyNumberFormat="1">
      <alignment readingOrder="0" shrinkToFit="0" vertical="top" wrapText="0"/>
    </xf>
    <xf borderId="0" fillId="0" fontId="1" numFmtId="166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3" numFmtId="164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readingOrder="0"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top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5" xfId="0" applyAlignment="1" applyFill="1" applyFont="1" applyNumberFormat="1">
      <alignment readingOrder="0" shrinkToFit="0" vertical="top" wrapText="1"/>
    </xf>
    <xf borderId="0" fillId="2" fontId="1" numFmtId="165" xfId="0" applyAlignment="1" applyFill="1" applyFont="1" applyNumberFormat="1">
      <alignment readingOrder="0" shrinkToFit="0" vertical="top" wrapText="0"/>
    </xf>
    <xf borderId="0" fillId="2" fontId="1" numFmtId="165" xfId="0" applyAlignment="1" applyFill="1" applyFont="1" applyNumberFormat="1">
      <alignment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0"/>
    </xf>
    <xf borderId="0" fillId="0" fontId="1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 shrinkToFit="0" vertical="top" wrapText="0"/>
    </xf>
    <xf borderId="0" fillId="0" fontId="1" numFmtId="165" xfId="0" applyAlignment="1" applyFont="1" applyNumberFormat="1">
      <alignment readingOrder="0" shrinkToFit="0" vertical="top" wrapText="0"/>
    </xf>
    <xf borderId="0" fillId="0" fontId="1" numFmtId="165" xfId="0" applyAlignment="1" applyFont="1" applyNumberFormat="1">
      <alignment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vertical="top"/>
    </xf>
    <xf borderId="0" fillId="0" fontId="1" numFmtId="0" xfId="0" applyAlignment="1" applyFont="1">
      <alignment shrinkToFit="0" vertical="top" wrapText="1"/>
    </xf>
    <xf borderId="0" fillId="0" fontId="1" numFmtId="165" xfId="0" applyAlignment="1" applyFont="1" applyNumberFormat="1">
      <alignment shrinkToFit="0" vertical="top" wrapText="1"/>
    </xf>
    <xf borderId="0" fillId="0" fontId="1" numFmtId="165" xfId="0" applyAlignment="1" applyFont="1" applyNumberForma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ta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ndahara DPC Panmas" id="{7ae34b6f-f6be-446c-9c72-52f91c83f940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36" sheet="Utama"/>
  </cacheSource>
  <cacheFields>
    <cacheField name="Tanggal" numFmtId="164">
      <sharedItems containsSemiMixedTypes="0" containsDate="1" containsString="0">
        <d v="2025-01-31T00:00:00Z"/>
        <d v="2025-02-02T00:00:00Z"/>
        <d v="2025-02-03T00:00:00Z"/>
        <d v="2025-02-07T00:00:00Z"/>
        <d v="2025-02-08T00:00:00Z"/>
        <d v="2025-02-09T00:00:00Z"/>
        <d v="2025-02-12T00:00:00Z"/>
        <d v="2025-02-13T00:00:00Z"/>
        <d v="2025-02-14T00:00:00Z"/>
        <d v="2025-02-16T00:00:00Z"/>
        <d v="2025-02-17T00:00:00Z"/>
        <d v="2025-02-18T00:00:00Z"/>
        <d v="2025-02-20T00:00:00Z"/>
        <d v="2025-02-22T00:00:00Z"/>
        <d v="2025-02-23T00:00:00Z"/>
        <d v="2025-02-24T00:00:00Z"/>
        <d v="2025-02-25T00:00:00Z"/>
        <d v="2025-02-26T00:00:00Z"/>
        <d v="2025-02-28T00:00:00Z"/>
        <d v="2025-03-05T00:00:00Z"/>
        <d v="2025-03-06T00:00:00Z"/>
        <d v="2025-03-07T00:00:00Z"/>
        <d v="2025-03-08T00:00:00Z"/>
        <d v="2025-03-10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6T00:00:00Z"/>
        <d v="2025-03-27T00:00:00Z"/>
        <d v="2025-03-28T00:00:00Z"/>
        <d v="2025-03-30T00:00:00Z"/>
        <d v="2025-04-10T00:00:00Z"/>
        <d v="2025-04-11T00:00:00Z"/>
        <d v="2025-04-12T00:00:00Z"/>
        <d v="2025-04-13T00:00:00Z"/>
        <d v="2025-04-17T00:00:00Z"/>
        <d v="2025-04-18T00:00:00Z"/>
        <d v="2025-04-19T00:00:00Z"/>
        <d v="2025-04-20T00:00:00Z"/>
        <d v="2025-04-21T00:00:00Z"/>
        <d v="2025-04-23T00:00:00Z"/>
        <d v="2025-04-24T00:00:00Z"/>
        <d v="2025-04-28T00:00:00Z"/>
        <d v="2025-04-30T00:00:00Z"/>
        <d v="2025-05-02T00:00:00Z"/>
        <d v="2025-05-03T00:00:00Z"/>
        <d v="2025-05-04T00:00:00Z"/>
        <d v="2025-05-06T00:00:00Z"/>
        <d v="2025-05-07T00:00:00Z"/>
        <d v="2025-05-08T00:00:00Z"/>
        <d v="2025-05-09T00:00:00Z"/>
        <d v="2025-05-10T00:00:00Z"/>
        <d v="2025-05-11T00:00:00Z"/>
        <d v="2025-05-15T00:00:00Z"/>
        <d v="2025-05-16T00:00:00Z"/>
        <d v="2025-05-17T00:00:00Z"/>
        <d v="2025-05-18T00:00:00Z"/>
        <d v="2025-05-20T00:00:00Z"/>
        <d v="2025-05-25T00:00:00Z"/>
        <d v="2025-05-28T00:00:00Z"/>
        <d v="2025-05-29T00:00:00Z"/>
        <d v="2025-05-30T00:00:00Z"/>
        <d v="2025-05-31T00:00:00Z"/>
        <d v="2025-06-01T00:00:00Z"/>
        <d v="2025-06-03T00:00:00Z"/>
        <d v="2025-06-07T00:00:00Z"/>
        <d v="2025-06-08T00:00:00Z"/>
        <d v="2025-06-11T00:00:00Z"/>
        <d v="2025-06-13T00:00:00Z"/>
        <d v="2025-06-15T00:00:00Z"/>
        <d v="2025-06-16T00:00:00Z"/>
        <d v="2025-06-17T00:00:00Z"/>
        <d v="2025-06-21T00:00:00Z"/>
        <d v="2025-06-23T00:00:00Z"/>
        <d v="2025-06-24T00:00:00Z"/>
        <d v="2025-06-25T00:00:00Z"/>
        <d v="2025-06-26T00:00:00Z"/>
        <d v="2025-06-27T00:00:00Z"/>
        <d v="2025-06-30T00:00:00Z"/>
        <d v="2025-07-02T00:00:00Z"/>
        <d v="2025-07-03T00:00:00Z"/>
        <d v="2025-07-06T00:00:00Z"/>
        <d v="2025-07-07T00:00:00Z"/>
        <d v="2025-07-08T00:00:00Z"/>
        <d v="2025-07-09T00:00:00Z"/>
        <d v="2025-07-10T00:00:00Z"/>
        <d v="2025-07-14T00:00:00Z"/>
        <d v="2025-07-17T00:00:00Z"/>
        <d v="2025-07-18T00:00:00Z"/>
        <d v="2025-07-19T00:00:00Z"/>
        <d v="2025-07-20T00:00:00Z"/>
        <d v="2025-07-21T00:00:00Z"/>
        <d v="2025-07-22T00:00:00Z"/>
        <d v="2025-07-25T00:00:00Z"/>
        <d v="2025-07-26T00:00:00Z"/>
        <d v="2025-07-27T00:00:00Z"/>
        <d v="2025-07-28T00:00:00Z"/>
        <d v="2025-07-29T00:00:00Z"/>
        <d v="2025-07-31T00:00:00Z"/>
        <d v="2025-08-01T00:00:00Z"/>
        <d v="2025-08-02T00:00:00Z"/>
        <d v="2025-08-03T00:00:00Z"/>
        <d v="2025-08-04T00:00:00Z"/>
        <d v="2025-08-07T00:00:00Z"/>
        <d v="2025-08-08T00:00:00Z"/>
        <d v="2025-08-09T00:00:00Z"/>
        <d v="2025-08-10T00:00:00Z"/>
        <d v="2025-08-15T00:00:00Z"/>
        <d v="2025-08-18T00:00:00Z"/>
        <d v="2025-08-20T00:00:00Z"/>
        <d v="2025-08-21T00:00:00Z"/>
        <d v="2025-08-22T00:00:00Z"/>
        <d v="2025-08-23T00:00:00Z"/>
        <d v="2025-08-24T00:00:00Z"/>
        <d v="2025-08-27T00:00:00Z"/>
        <d v="2025-08-28T00:00:00Z"/>
        <d v="2025-08-29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10T00:00:00Z"/>
        <d v="2025-09-11T00:00:00Z"/>
        <d v="2025-09-12T00:00:00Z"/>
        <d v="2025-09-13T00:00:00Z"/>
        <d v="2025-09-15T00:00:00Z"/>
        <d v="2025-09-17T00:00:00Z"/>
        <d v="2025-09-18T00:00:00Z"/>
        <d v="2025-09-21T00:00:00Z"/>
        <d v="2025-09-22T00:00:00Z"/>
        <d v="2025-09-23T00:00:00Z"/>
        <d v="2025-09-25T00:00:00Z"/>
        <d v="2025-09-30T00:00:00Z"/>
        <d v="2025-10-01T00:00:00Z"/>
        <d v="2025-10-02T00:00:00Z"/>
        <d v="2025-10-04T00:00:00Z"/>
        <d v="2025-10-05T00:00:00Z"/>
        <d v="2025-10-07T00:00:00Z"/>
        <d v="2025-10-08T00:00:00Z"/>
        <d v="2025-10-10T00:00:00Z"/>
        <d v="2025-10-14T00:00:00Z"/>
        <d v="2025-10-15T00:00:00Z"/>
        <d v="2025-10-16T00:00:00Z"/>
        <d v="2025-10-17T00:00:00Z"/>
        <d v="2025-10-20T00:00:00Z"/>
        <d v="2025-10-21T00:00:00Z"/>
        <d v="2025-10-23T00:00:00Z"/>
        <d v="2025-10-25T00:00:00Z"/>
        <d v="2025-10-28T00:00:00Z"/>
        <d v="2025-10-29T00:00:00Z"/>
        <d v="2025-10-30T00:00:00Z"/>
        <d v="2025-10-31T00:00:00Z"/>
        <d v="2025-11-02T00:00:00Z"/>
        <d v="2025-11-03T00:00:00Z"/>
        <d v="2025-11-04T00:00:00Z"/>
        <d v="2025-11-06T00:00:00Z"/>
        <d v="2025-11-07T00:00:00Z"/>
        <d v="2025-11-08T00:00:00Z"/>
        <d v="2025-11-09T00:00:00Z"/>
        <d v="2025-11-11T00:00:00Z"/>
        <d v="2025-11-15T00:00:00Z"/>
        <d v="2025-11-19T00:00:00Z"/>
        <d v="2025-11-20T00:00:00Z"/>
        <d v="2025-11-21T00:00:00Z"/>
        <d v="2025-11-22T00:00:00Z"/>
        <d v="2025-11-23T00:00:00Z"/>
        <d v="2025-11-25T00:00:00Z"/>
        <d v="2025-11-26T00:00:00Z"/>
        <d v="2025-11-27T00:00:00Z"/>
        <d v="2025-11-28T00:00:00Z"/>
        <d v="2025-11-29T00:00:00Z"/>
        <d v="2025-12-01T00:00:00Z"/>
        <d v="2025-12-03T00:00:00Z"/>
        <d v="2025-12-04T00:00:00Z"/>
        <d v="2025-12-06T00:00:00Z"/>
        <d v="2025-12-07T00:00:00Z"/>
        <d v="2025-12-08T00:00:00Z"/>
        <d v="2025-12-09T00:00:00Z"/>
        <d v="2025-12-10T00:00:00Z"/>
        <d v="2025-12-13T00:00:00Z"/>
        <d v="2025-12-16T00:00:00Z"/>
        <d v="2025-12-17T00:00:00Z"/>
        <d v="2025-12-19T00:00:00Z"/>
        <d v="2025-12-21T00:00:00Z"/>
        <d v="2025-12-23T00:00:00Z"/>
        <d v="2025-12-24T00:00:00Z"/>
        <d v="2025-12-25T00:00:00Z"/>
        <d v="2025-12-26T00:00:00Z"/>
        <d v="2025-12-27T00:00:00Z"/>
        <d v="2025-12-28T00:00:00Z"/>
        <d v="2025-12-31T00:00:00Z"/>
        <d v="2026-01-01T00:00:00Z"/>
        <d v="2026-01-07T00:00:00Z"/>
        <d v="2026-01-09T00:00:00Z"/>
        <d v="2026-01-11T00:00:00Z"/>
        <d v="2026-01-14T00:00:00Z"/>
        <d v="2026-01-16T00:00:00Z"/>
        <d v="2026-01-18T00:00:00Z"/>
      </sharedItems>
    </cacheField>
    <cacheField name="Kegiatan" numFmtId="0">
      <sharedItems containsBlank="1">
        <m/>
        <s v="Bantu pelatihan Kepanduan"/>
        <s v="Trf Operasional"/>
        <s v="Bantuan ops dr DPD"/>
        <s v="Salurkan ke DPRa via flip (6Dpra x 2bln x 500rb)"/>
        <s v="IWB PM3252 (360rb Lusiana, 50rb nuraini, balqis, sri m, indriyani, ni'mah)"/>
        <s v="Titipan Untuk Mandiri PM3262"/>
        <s v="Beli makan malam meet DPC"/>
        <s v="titipan BMS Hendra Hidayat"/>
        <s v="Titipan ITB (7x50rb) IWB (7x50rb) Hendra Hidayat PM4101"/>
        <s v="Tambahan makan malam"/>
        <s v="Minuman meet"/>
        <s v="Rekonsil titipan untuk Matsu'i"/>
        <s v="setor bms pak Hendra Hidayat"/>
        <s v="bayarkan ITB pak Hendra"/>
        <s v="reimburse bea rapat ke Asep"/>
        <s v="reimburse makanan rapat Bu Ika"/>
        <s v="santunan lakalantas Nur Ikhwanto"/>
        <s v="Pak Hamdi titip IWAI"/>
        <s v="pemberian pinjaman Muhsinin"/>
        <s v="Reimburse konsumsi link and match dan diskusi kaderisasi"/>
        <s v="topup actionpay untuk bayarkan ITB PM3221 / PM3206"/>
        <s v="bayarkan ITB PM3221 / PM3206"/>
        <s v="terima koreksi salkir dari ZS untuk ITB dan IWB PM3221 / PM3206"/>
        <s v="reimburse konsumsi panitia musran &amp; tarhib Ramadhan"/>
        <s v="Terima titipan IWB ITB PM3203"/>
        <s v="konsumsi acara BKKD"/>
        <s v="operasional musran gabungan"/>
        <s v="konsumsi musran gabungan"/>
        <s v="reimburse konsumsi dpc 20,21 feb"/>
        <s v="topup kas 79100"/>
        <s v="topup actionpay"/>
        <s v="bayarkan ITB PM 3203"/>
        <s v="bayarkan ITB PM 3213"/>
        <s v="bayarkan ITB PM 3261"/>
        <s v="bayarkan ITB PM 3235"/>
        <s v="bayarkan ITM PM 3212"/>
        <s v="terima ITB PM 3235"/>
        <s v="Pengembalian hutang ust Muhsinin"/>
        <s v="reimburse dari reza salah bayar ITB"/>
        <s v="bayar ITB PM 3235 Jan"/>
        <s v="Bayar giat"/>
        <s v="Lebih bayar PM3203"/>
        <s v="Reimburse design kantor dan ngafe"/>
        <s v="Total IWB"/>
        <s v="Setor IWB"/>
        <s v="Kafalah Asep Irawan Feb25"/>
        <s v="Santunan Bencana Bu Tita"/>
        <s v="Spanduk Tarhib dan rapat humas"/>
        <s v="Reimburse Rapat"/>
        <s v="trf ops"/>
        <s v="setor tunai dari sertijab"/>
        <s v="Ops dari DPD"/>
        <s v="Support DPRa Mar25"/>
        <s v="Support Ramadhan DPRa"/>
        <s v="Beli AC"/>
        <s v="Support beli AC"/>
        <s v="Ops Banjir"/>
        <s v="rapat dan bukber pandu"/>
        <s v="Talangan dari Reza"/>
        <s v="Pinjaman dari Reza"/>
        <s v="Reimburse Asep"/>
        <s v="Topup"/>
        <s v="Hari bersama AlQuran"/>
        <s v="Talangan kegiatan kaderisasi"/>
        <s v="Fwd BMS Budi Susetyo"/>
        <s v="THR Kang Asep"/>
        <s v="Kiswatul Ied Aromil"/>
        <s v="Pengembalian talangan Kaderisasi"/>
        <s v="Pengembalian talangan reza 2.3jt 10 Mar"/>
        <s v="Pengembalian talangan reza 2jt 10 Mar"/>
        <s v="cetak stiker untuk depan kantor"/>
        <s v="Pengembalian pinjaman Muhsinin F"/>
        <s v="Beli Buku pak Sadulah"/>
        <s v="Sumbangan dari Kubub"/>
        <s v="Belasungkawa Ket DPC Cilodong"/>
        <s v="Bea bukber Rumah Putih"/>
        <s v="Backdrop"/>
        <s v="Tambahan kiswatul ied"/>
        <s v="Lebih Bayar PM3241"/>
        <s v="Ops ke Rek Reza"/>
        <s v="PEngembalian salkir Pak Ali"/>
        <s v="Beli wireless mic"/>
        <s v="setor IWB ke DPD"/>
        <s v="ifthor panziswaf 23-24, angkut paket dari Bang Kholid"/>
        <s v="Pengembalian salkir Pak Ali ke Bend Grup"/>
        <s v="salkir infaq plstina"/>
        <s v="koreksi salkir"/>
        <s v="??"/>
        <s v="ops panitia ziswaf"/>
        <s v="kafalah bulanan Asep"/>
        <s v="reimburse ifthor panziswaf, iuran bulanan 200rb, wifi 277rb"/>
        <s v="konsumsi pandu bantuan banjir ust Anwar"/>
        <s v="Rapat DPC &amp; panitia halbil &#10;&#10;- semangka                     67 rb&#10;- keruk                              47 rb&#10;- anggur                           70 rb&#10;- martabak telor @2      74 rb&#10;- martabak manis @2   70 rb&#10;- air mineral                     18 rb&#10;- keri"/>
        <s v="Rapat tim survey &amp; ifthor &#10;- jus                               96 rb&#10;- snack                          80 rb&#10;- kebuli kambing       260 rb&#10;- tisu                              10 rb"/>
        <s v="Pendirian yayasan"/>
        <s v="Indomaret                           95 rb&#10;Batrai alkaline&#10;Kamper toilet&#10;&#10;Galon dan air                     40 rb&#10;Gelas kertas &amp; kopi        126 rb"/>
        <s v="Meja laptop"/>
        <s v="Konsumsi pra raker&#10;- snack  30 @10           300 rb&#10;- jus 30                           330 rb&#10;- nasbox padang          697 rb&#10;- air 2 dus + botol           68 rb&#10;- tisu                                  15 rb"/>
        <s v="Perbaikan atas bocor &#10;Polingkut                 151 rb&#10;Tukang                     200 rb"/>
        <s v="Santunan sakit Mardi dan suami Bu Rini"/>
        <s v="Reimburse giat 13-20 apr"/>
        <s v="Refund kelebihan trf Sutrisno"/>
        <s v="Tunjangan DPRa Mar25"/>
        <s v="Konsumsi rapat DPC"/>
        <s v="DP biaya panitia halbil"/>
        <s v="Topup Rek DPC Reza"/>
        <s v="pengeluaran DPC bulan April 2025&#10;&#10;&#10;Pulsa Listrik DPC   500 rb&#10;Stok air botol bisto 4&#10;Gelas 1                    125 rb &#10;Otomatis Radar        85 rb&#10;Tukang pasang      100 rb &#10;&#10;&#10;Total                         810 rb"/>
        <s v="Support H Kholid"/>
        <s v="Bantuan bunda Elly"/>
        <s v="Rapat panitia HBH DPC.. &#10;- snack                           150 rb&#10;- semangka                     65 rb&#10;- salak                               25 rb&#10;- jeruk                               60 rb &#10;- tisu 2                              24 rb&#10;- kopi²            "/>
        <s v="4 Mei 2025&#10;&#10;Iyuran wajib                     200 rb&#10;Lampu bolham                105 rb&#10;Total                                  664 rb"/>
        <s v="besuk ust Anwar"/>
        <s v="Internet"/>
        <s v="apresiasi 2 grup UPA yg lolos proposal pemberdayaan dari pokir pa Hafid @ 350k "/>
        <s v="Sumbangan konsumsi HBH"/>
        <s v="Besuk pak Baron"/>
        <s v="IWB PM4106"/>
        <s v="Rapat persiapan BPH dpc panitia HBH&#10;- martabak manis 2    60 rb&#10;- martabak telor    2    70 rb&#10;- jus                              170 rb&#10;- makmal                     125 rb"/>
        <s v="Perbaikan Kursi Roda"/>
        <s v="ops Halbil"/>
        <s v="parcel buah besuk"/>
        <s v="Taawun ranap Verdian"/>
        <s v="Admin urus kunci apartemen"/>
        <s v="Reimburse DP resto pembubaran panitia halbil"/>
        <s v="Konsumsi meetup humas"/>
        <s v="Amplop apresiasi pembubaran panitia halbil"/>
        <s v="pembubaran panitia halbil"/>
        <s v="Nikahan anak Nurabadi"/>
        <s v="Rapat presentasi hasil survey&#10;BPH DPC - DPRa - kabid&#10;&#10;- Snack                           167 rb&#10;- Ongkir                             20 rb&#10;- Jus                               285 rb&#10;- Ongkir                            15 rb&#10;- Air mineral moboto     46 rb"/>
        <s v="Rapat BPH - tim enterpreneur &#10;- snack                           110 rb&#10;- anggur                            75 rb&#10;- pisang                            18 rb&#10;- jeru                                  47 rb &#10;- kopi²                               74 rb&#10;- maksi  "/>
        <s v="Rapat BPH DPC - BK&#10;- martabak T  2               70 rb&#10;- martabak M                  35 rb&#10;- kripik slondok               16 rb &#10;- keripik singkong             8 rb&#10;- anggur                            75 rb&#10;- salak                               13 rb&#10;- je"/>
        <s v="PBB DPC"/>
        <s v="Beli meja kafe"/>
        <s v="Indomaret&#10;- kamper                           55 rb&#10;&#10;&#10;Rapat DPC - DPRa&#10;- GO-JEK                          20 rb&#10;Pinjam LCD DPD&#10;&#10;Batu mic alkaline              36 rb&#10;Indomaret                           54 rb&#10;- Kamper toilet &#10;&#10;Lazada                          "/>
        <s v="Konsumsi pra raker"/>
        <s v="kopi sevel raker"/>
        <s v="token listrik"/>
        <s v="duplikat kunci"/>
        <s v="Ops pembagian BKKD&#10;Konsumsi&#10;7000× 35= 245.000&#10;Cetak yys= 12.000&#10;2 pack Amplop = 60.000&#10;Operasional =150.000&#10;&#10;Total 467.000"/>
        <s v="Rapat tim pa baron BK &amp; tim PKS muda&#10;&#10;- snack                          120 rb&#10;- buah² an                     160 rb&#10;- tisu                                 10 rb&#10;- air botol                         23 rb&#10;- kopi²                               25 rb&#10;&#10;Indomar"/>
        <s v="Bayar IWB"/>
        <s v="Rapat BK&#10;- snack                           120 rb&#10;- jeruk                               47 rb&#10;- nanggis                         35 rb&#10;- anggur                           75 rb&#10;- air botol                         21 rb&#10;( acc pa ilham  )"/>
        <s v="tunjangan ops dari DPD"/>
        <s v="- iyuran wajib                200 rb&#10;- internet DPC               278 rb"/>
        <s v="Rapat tim Panitia lomba skripsi &#10;&#10;- snack                           120 rb&#10;- buah² an                      154 rb&#10;- air mineral                     20 rb&#10;- kopi²                               45 rb&#10;- maksi                           150 rb&#10;( Acc pa ilham  "/>
        <s v="tunjangan ops 6 DPRa Mei 25"/>
        <s v="ops BMS"/>
        <s v="Rapat DPC&#10;martabak&#10;-  manis Dan telor       55 rb                    &#10;- buah² an                  150 rb&#10;&#10;&#10;Stok air botol   3            60 rb&#10;&#10;&#10;Total                              265 rb"/>
        <s v="Biaya Qurban Nurabadi"/>
        <s v="Kekurangan biaya Qurban Nurabadi"/>
        <s v="Kekurangan reimburse"/>
        <s v="Beli&#10;- mejikom Sharp           357 rb &#10;- kompor rinai               291 rb&#10;( CC pa ilham  ) "/>
        <s v="Rapat BPH DPC Dan Bidang-bidang&#10;- martabak telor            35 rb&#10;- martabak manis         30 rb&#10;- buah² an                     152 rb&#10;- soto daging  ( free ) &#10;- pecel ayam 4               80 rb&#10;- stok air 3                      69 rb"/>
        <s v="Reimbuse rapat 3 Jun"/>
        <s v="- parcesl buah               200 rb  &#10;( pa IBH ka DPD  )"/>
        <s v="Colokan + kombinasi       86 rb&#10;( rakit sendiri  )"/>
        <s v="Beli hape ops Siape Aje"/>
        <s v="Support rihlah KSN"/>
        <s v="Raker DPC - DPRa para seksi&#10;- snack                           320 rb&#10;- buah- buahan             310 rb&#10;- tisu 3                              26 rb  &#10;- tusuk sate                     15 rb&#10;- tomat                   .         10 rb&#10;- cabe                   "/>
        <s v="Stok air 10                        200 rb&#10;(  pa nasrul ) "/>
        <s v="Pinjaman Sekr Dejay utk Suhendi"/>
        <s v="talangan giat pelatihan khotib"/>
        <s v="beli 4 kursi"/>
        <s v="Biaya masak rakercab&#10;Bumbu+ perlengkapan 200.000&#10;Buras 30=300.000&#10;Ongkos masak 150.000&#10;Ongkir 30.000&#10;Total 680.000"/>
        <s v="beli air cleo 10"/>
        <s v="bea kopi rakercab"/>
        <s v="Rapat tim panitia lomba Sekripsi &#10;- snack                           120 rb&#10;- buah² an                      150 rb"/>
        <s v="Reses bang kholid&#10;Tambah jus                      170 rb&#10;( pa veridan  ) "/>
        <s v="beli pemanas air minum"/>
        <s v="23 - juni 2025&#10;Listrik                                     200 rb&#10;Santunan yatim (lingkungan) 100 rb&#10;&#10;Total                         300 rb"/>
        <s v="reimburse cleo Asep"/>
        <s v="Reimburse asep 21 Jun 2025"/>
        <s v="Ambulans anak pak Kamal"/>
        <s v="Sumbangan reses Bang Kholid"/>
        <s v="Konsumsi rapat sie kepanduan"/>
        <s v="IWB"/>
        <s v="ops Kesos"/>
        <s v="Taawun M Kamal n Ridwan Zul"/>
        <s v="Kafalah bulanan"/>
        <s v="Reimburse Asep 23 Jun 3 Jul"/>
        <s v="Iuran wajib perumahan"/>
        <s v="6 Juli 2025&#10;&#10;Rapat kabid &amp; BPH DPC&#10;Pempek         ( pa ilham  )&#10;+ timun &amp; mie                     17 k&#10;Jus                                     126 k&#10;Ongkir                                  17 k&#10;Tisu 3                                   20 k&#10;  &#10;Stok kopi   "/>
        <s v="Belanja indomaret            67 k&#10;- kamper toilet &#10;- pewangi ruangan&#10;- prostex toilet"/>
        <s v="Rapat SPKK - UPKK&#10;Konsumsi bu ika              300 k"/>
        <s v="7 juni 2025&#10;Rapat koordinasi &#10;Pematangan renovasi &#10;Dan operasional cafe&#10;- pa verdian&#10;- pa Faisal&#10;- pa agus&#10;- pa Gunawan&#10;- Asep &#10;Makai pecel ayam            150 k"/>
        <s v="Reimburse Asep 6-7 Jul 2025"/>
        <s v="Tunjangan ops DPC DPRa"/>
        <s v="Distribusi Tunjangan"/>
        <s v="Pelatihan video dan AI"/>
        <s v="Topup ops"/>
        <s v="Ops SPKK"/>
        <s v="Taawun Bu Zubaika"/>
        <s v="Bayar Internet"/>
        <s v="Tambah buffer Asep"/>
        <s v="Topup Asep"/>
        <s v="Support Majelis Pembinaan Anak"/>
        <s v="Tunjangan Ops"/>
        <s v="Beli Gas 3kg"/>
        <s v="Konsumsi"/>
        <s v="Tunjangan dari Bu Iin"/>
        <s v="Rapat bidang BPJE &amp; Ka DPC... &#10;Mie ayam bakso               102 k&#10;Kelapa muda                       72 k"/>
        <s v="Cicilan Hutang"/>
        <s v="Dana hibah"/>
        <s v="Pulsa listrik DPC               203 k"/>
        <s v="Onglos senam 27 Jul"/>
        <s v="Rapat bidang pertanian &amp; ka DPC &#10;Kelap bulat                           72 k&#10;Snack                                    45 k"/>
        <s v="Rekap penerimaan IWB 30Jun-26Jul"/>
        <s v="Setor IWB "/>
        <s v="Rapat gabungan persiapan &#10;Senam &amp; reses pa Hafid&#10;- snack                               80 k &#10;- buah² an                          97 k&#10;- tisu  2                               24 k&#10;- kelapa bulat                    84 k"/>
        <s v="Rapat warung siaPe aJE&#10;Snack                                  40 k&#10;Makan Malam                   105 k&#10;Stok tisu  2                          24 k"/>
        <s v="Agenda senam.. &#10;Pengamanan dan parkiran perumahan &#10;Security perumahan 2 orang dan security ruko 2 orang&#10;Masing-masing 50 k        200 k&#10;(  Acc pa ilham  ) "/>
        <s v="Tambahan makan siang padang 13 @18 k  234 k&#10;&#10;(  cc pa ilham  )"/>
        <s v="Reimburse Asep 19-27 Jul"/>
        <s v="Program Tani DPC"/>
        <s v="Studi banding prokim 750rb. lebih bayar"/>
        <s v="Uang duka laka Cimanggis"/>
        <s v="Listrik DPC                         203 k&#10;Stok air Cleo 10                200 k"/>
        <s v="Kafalah instruktur senam"/>
        <s v="Kafalah tim support senam"/>
        <s v="Rapat ka DPC - para pembimbing... &#10;Siomay &amp; es oyen            234 k"/>
        <s v="Teruskan titipan donasi Palestina ke ZS"/>
        <s v="Pengembalian lebih bayar Prokim"/>
        <s v="Ateker AC satu set             78 k&#10;Teknisi                                150 k "/>
        <s v="Iyuran wajib                       200 k"/>
        <s v="Internet DPC                     333 k"/>
        <s v="Transpor giat ke Bogor"/>
        <s v="Perbaikan arus listrik yang konslet &#10;&#10;Belanja NCB dll        315 k&#10;Jasa teknisi              150 k"/>
        <s v="Kafalah Asep"/>
        <s v="Reimburse Asep 29 Jul-3 Aug"/>
        <s v="Tunj Ops DPC DPRa Jul25"/>
        <s v="Tunj Ops DPRa Jul25"/>
        <s v="Reimburse SiapeAje Cafe"/>
        <s v="Tunj Ops Aleg"/>
        <s v="Tunj Ops DPC DPRa Aug25"/>
        <s v="Tunj Ops DPRa Aug25"/>
        <s v="Taawun orangtua Joko Sugiyarto"/>
        <s v="dana untuk modal bazaar CFD"/>
        <s v="Pinjaman pelunasan hutang Mustopa"/>
        <s v="- ambil kulkas ke cibubur &#10;BBM                             50 k&#10;- pulsa listrik          203 k&#10;- radar otomatis      80 k&#10;- jasa tukang         100 k&#10;- keran wastafel      60 k&#10;- siltif                           5 k"/>
        <s v="Santunan walimah anak Pak Mardi"/>
        <s v="Stok air Cleo 10                200 k&#10;Duplikat kunci 3                  45 k&#10;&#10;Pulsa Listrik                      200 k "/>
        <s v="Bea lomba review makanan warung"/>
        <s v="Topup kas SPKK"/>
        <s v="salah kirim reimburse ke Asep"/>
        <s v="pengembalian dari Asep"/>
        <s v="reimburse infra"/>
        <s v="Santunan sakit Yosep Duriat"/>
        <s v="perbaikan listrik&#10;Rincian pekerja &#10;1. Saklar seri Rp. 18.000&#10;2. Saklar triple Rp. 25.000&#10;3. Kamper Rp. 27.500&#10;4. Tenaga Rp. 150.000&#10;&#10;Total  Rp. 220.500"/>
        <s v="Beli 150 buku&#10;&#10;(6 bulan gak habis bisa dikembalikan)"/>
        <s v="Pengembalian talangan"/>
        <s v="Talangan giat studium generale"/>
        <s v="Rapat BPH DPC - Spje - tim warung &#10;Kelapa bulat 5                     75 k&#10;Snack                                  45 k&#10;Pecel lele                             95 k"/>
        <s v="ops pandu Sep25"/>
        <s v="Iyuran wajib                       200 k    &#10;Internet                              338 k"/>
        <s v="ops humas"/>
        <s v="talangan bedah buku"/>
        <s v="Honor Bulanan Asep"/>
        <s v="Pulsa listrik              203 k"/>
        <s v="Stok air Cleo  10      200 k"/>
        <s v="Splitter                         95 k"/>
        <s v="Rapat BPH DPC - BK&#10;Bu angga, pa hamdi, ust Adriana &#10;- jus nusantara      169 k&#10;- makmal                100 k&#10;- martabak                88 k&#10;- buah2 an              100 k"/>
        <s v="honor pengamanan kantor"/>
        <s v="Pengumuman pemenang  lomba UMKM (  humas  ) &#10;- batrai alkaline      83 k"/>
        <s v="reimburse pengeluaran Asep"/>
        <s v="santunan uang duka wafatnya Yosep Duriat"/>
        <s v="28 aug snack acara Pak Imam 350k, 23 Aug 157k, 3 Sep 70k, 4 Sep 216k"/>
        <s v="konsumsi giat SPJE 10 Sep"/>
        <s v="beli bahan bangunan kantor dpc"/>
        <s v="tunj ops Kesos"/>
        <s v="Rihlah Ilham n istri bersama SPKK"/>
        <s v="tunj Ops Humas"/>
        <s v="pengembalian bedah buku + profit"/>
        <s v="konsumsi rapat 16 Sep&#10;BPH 146rb&#10;Bid Tani 113rb"/>
        <s v="Perbaikan kantor"/>
        <s v="Ops DPC DPRa Sep 25"/>
        <s v="Ops DPRa Sep 25"/>
        <s v="Konsumsi rapat BPH"/>
        <s v="Ops Kesos Okt25"/>
        <s v="Taawun ust Khozin"/>
        <s v="Taawun ambulans Bu Hartati"/>
        <s v="Ops Humas Okt 25, 250k&#10;Bantu perpanjang Capcut, 350k"/>
        <s v="Taawun pengobatan anak Verdian"/>
        <s v="Sewa bus"/>
        <s v="Maksi giat SPJE 8 Okt"/>
        <s v="Perbaikan mesin air kantor"/>
        <s v="Perbaikan listrik kantor"/>
        <s v="Ops sie SPKK"/>
        <s v="Bayar PLN ganti meter"/>
        <s v="Bayar PLN Lagi"/>
        <s v="Total IWB belum di-approve"/>
        <s v="Tunj Ops dari DPD"/>
        <s v="Setor IWB Okt 25"/>
        <s v="Pengembalian dana Poktan"/>
        <s v="Tunj Ops ke DPRa"/>
        <s v="Laporan bulan Oktober 2025&#10;&#10;listrik DPC                        203 k&#10;Ayam penyet      &#10;( tukang  )                           18 k&#10;Ayam penyet dan kopi&#10;( p kosim PLN)                   23 k&#10;Teknisi PLN                         50 k&#10;( acc pa ilham) "/>
        <s v="Konsumsi giat kepanduan 26Okt"/>
        <s v="Laporan bulan Oktober 2025&#10;&#10;Rpat 2 kali &#10;BPH, poktan, yaysan&#10;Sekertariatan                    220 k&#10;"/>
        <s v="kirim lagi data Poktan"/>
        <s v="Tunjangan Aleg"/>
        <s v="25 okt 2025&#10;&#10;Rapat, BPH DPC, spje, kepemudaan, tamu pengusaha Turki &#10;&#10;Warung siape Aje    344.000"/>
        <s v="ongkos material gedung DPC"/>
        <s v="reimburse konsumsi"/>
        <s v="Pinjaman bea operasi Falih"/>
        <s v="ops sie Kesos Nov25"/>
        <s v="Taawun anak Ilham 350"/>
        <s v="Taawun Mahmudin"/>
        <s v="Kena titipan ITB dll PM3204"/>
        <s v="Konsumsi Raker"/>
        <s v="Utk Bu Ika, diskresi Ka Dpc"/>
        <s v="reimburse Konsumsi Raker 2Nov"/>
        <s v="Lalamov hampres            130 k&#10;( ZS ke DPC  ) "/>
        <s v="Pinjaman Pak Sadullah"/>
        <s v="perbaikan gedung dpc"/>
        <s v="Ops Humas Nov25"/>
        <s v="Rapat &#10;Bidang : BPH DPC, pa Baron &amp; pa husnajat &#10;Warung siape aje             113 k&#10;&#10;Rapat&#10;Bidang : kesekertariatan &#10;Makan, pecel lele               60 k&#10;"/>
        <s v="Pengembalian Pinjaman Sadullah"/>
        <s v="Listrik DPC"/>
        <s v="bea tim sekuriti giat Madya"/>
        <s v="Rapat BPH dan ketua RT 04/19&#10;&#10;- nasi goreng 4            60 k&#10;- susu jahe                   32 k&#10;- snack                          45 k&#10;&#10;Bekel pa rt  ( di bawa ke rumah  ) &#10;- Beras                         72  k &#10;- indomie                      18 k&#10;( arahan"/>
        <s v="Rapat pa ilham dan tamu &#10;Warung siape aje           84 k"/>
        <s v="Kirim balik titipan ITB dll PM3204"/>
        <s v="Total penerimaan IWB 20Okt-20Nov"/>
        <s v="Setor IWB 20Okt-20Nov"/>
        <s v="Pulsa listrik dpc"/>
        <s v="Rapat BPH - tim koprasi DPD &#10;- warung siape aje        118 k&#10;- rebusan                          20 k&#10;- semangka                      30 k&#10;- pisang                             20 k&#10;- salak                               15 k"/>
        <s v="Beri pinjaman ke Verdian"/>
        <s v="Terima Tunj Ops dari DPD"/>
        <s v="Trf Tunj Ops ke 6 DPRa"/>
        <s v="Rpat BPH DPC, pada pengurus DPC &#10;&#10;Warung siape aje      215 k"/>
        <s v="duplikat kunci Faisal"/>
        <s v="Kapur ajaib"/>
        <s v="Rapat tim Spje, p ilham&#10;Warung siape aje     86 k"/>
        <s v="Ops Kepanduan Nov 25"/>
        <s v="Ops SPKK Nov 25"/>
        <s v="Talangan kegiatan"/>
        <s v="Ops Kesos Des25"/>
        <s v="Iyuran wajib  des     200 k&#10;Internet dpc              338 k"/>
        <s v="Pa ilham &#10;Warung siape aje      37 k"/>
        <s v="Bayarkan ITB PM3206 Jun, Agus"/>
        <s v="Bayarkan ITB PM3206 Mei"/>
        <s v="Transport ke rumah Tony"/>
        <s v="Kafalah"/>
        <s v="Konsumsi panitia parenting"/>
        <s v="Ops Humas Des25"/>
        <s v="Total penerimaan IWB 20Nov-20Dec"/>
        <s v="Setor IWB 20Nov-20Dec"/>
        <s v="konsumsi penerimaan SK PIP"/>
        <s v="Lalamov air bisto            129 k"/>
        <s v="Lalamov karpet                100 k&#10;Loundry  karpet                500 k"/>
        <s v="Rapat BPH DPC + pembimbing utama &#10;&#10;Nasi box padang              220 k&#10;Jus                                      183 k&#10;Warung siape aje             173 k"/>
        <s v="Refund salah kirim PM3206"/>
        <s v="25 des 2025&#10;&#10;Rapat koordinasi &#10;pa ilham, pa pulung , tamu&#10;&#10;Kopi sevel  3               21 k&#10;Singkong                     10 k&#10;Piscok                          10 k&#10;Pecel lele                    70 k&#10;&#10;Stok tisu 2                  24 k &#10;&#10;Total               "/>
        <s v="Ke Faisal Hakim"/>
        <s v="Bea giat olga"/>
        <s v="Koreksi Salkir PM3206"/>
        <s v="- iyuran wajib     200 k&#10;- internet DPC    338 k"/>
        <s v="reimburse Iuran"/>
        <s v="Bidang : BPH DPC + BKAP &#10;- siomay bandung  85 k&#10;- mie ayam               24 k&#10;- martabak               63 k"/>
        <s v="Rapat &#10;Bidang  : BKAP &#10;- snack                    100 k&#10;- kopi                         60 k"/>
        <s v="Rapat &#10;Bidang : BPH DPC + ka seksi ka dpra&#10;- snack                   200 k&#10;- jeruk  3 kg              90 k &#10;- salak 3 kg              45 k&#10;- kopi sevel            150 k (reimburse prbd)"/>
        <s v="Rapat &#10;Bidang : BPH DPC + ka seksi ka dpra&#10;Poto copy &#10;- 8 program              44 k"/>
        <s v="Rapat BPH DPC - DPRa para seksi BPPN DPD&#10;&#10;- snack  30 @10    300 k&#10;- kopi                         26 k&#10;- tisu 2                       24 k&#10;&#10;Total                           350 k"/>
        <s v="Konsumsi temu DPC pembina"/>
        <s v="Reimburse konsumsi 16 Jan"/>
      </sharedItems>
    </cacheField>
    <cacheField name="Grup" numFmtId="0">
      <sharedItems containsBlank="1">
        <m/>
        <s v="Winarto"/>
        <s v="DPD"/>
        <s v="DPRa"/>
        <s v="PM3252"/>
        <s v="PM3262"/>
        <s v="Hendra H"/>
        <s v="ZS"/>
        <s v="Reza"/>
        <s v="Asep"/>
        <s v="PM4103?"/>
        <s v="Muhsinin Fauzi"/>
        <s v="Verdian"/>
        <s v="PM3221"/>
        <s v="PM3203"/>
        <s v="PM3213"/>
        <s v="PM3261"/>
        <s v="PM3235"/>
        <s v="PM3212"/>
        <s v="Yayasan Teras Quran"/>
        <s v="Nurul Ikhwat"/>
        <s v="Ilham"/>
        <s v="PARA UPA"/>
        <s v="Asep Irawan"/>
        <s v="Tita Fatimah"/>
        <s v="Efa Bagus"/>
        <s v="Kartikasari"/>
        <s v="matsui"/>
        <s v="Imam Musanto"/>
        <s v="Khairul Umam"/>
        <s v="Katrina"/>
        <s v="Kaderisasi"/>
        <s v="Efaningsih"/>
        <s v="Sadullah"/>
        <s v="Kubub"/>
        <s v="PM3241"/>
        <s v="PM4107"/>
        <s v="Anis Anisya 3251"/>
        <s v="??"/>
        <s v="Munawir Sajali"/>
        <s v="Daeng Akbar"/>
        <s v="Ihda Husnayain"/>
        <s v="Bang Kholid"/>
        <s v="Elly Farida"/>
        <s v="Zubaika"/>
        <s v="Tita Fatimah, Sri Wulan Wibiyanti "/>
        <s v="DPRa Depok"/>
        <s v="DPRa Mampang"/>
        <s v="DPRa Panja"/>
        <s v="DPRa Dejay"/>
        <s v="DPRa Panmas"/>
        <s v="Baron Noorwendo"/>
        <s v="DPRa Panjaru"/>
        <s v="PM4106"/>
        <s v="Bu Eka"/>
        <s v="Nur Abadi"/>
        <s v="Faisal Hakim"/>
        <s v="Ning Zuraidah"/>
        <s v="Suhendi"/>
        <s v="Ibnu Nugroho"/>
        <s v="Agus"/>
        <s v="Jito"/>
        <s v="Nur Ikhwanto"/>
        <s v="Ijal"/>
        <s v="Nurjanah"/>
        <s v="Krisna"/>
        <s v="Mayasari"/>
        <s v="Faisal"/>
        <s v="Diana L"/>
        <s v="Hafid Nasir"/>
        <s v="Kantor"/>
        <s v="SiapeAje"/>
        <s v="Bu Iin"/>
        <s v="SPJE"/>
        <s v="Elda"/>
        <s v="Bid Tani"/>
        <s v="Reses"/>
        <s v="Suroto/Lusiana"/>
        <s v="Adhi Prayogi"/>
        <s v="DPC"/>
        <s v="Dini Kurnianing"/>
        <s v="Mardi"/>
        <s v="Chairunnisa (Istri Yosep)"/>
        <s v="Itishom"/>
        <s v="Mustopa"/>
        <s v="Diana"/>
        <s v="Efa"/>
        <s v="Khairul Rakhman"/>
        <s v="BK"/>
        <s v="Humas"/>
        <s v="Faisal H"/>
        <s v="Asep Tahyudin"/>
        <s v="Nasrul"/>
        <s v="Suroto"/>
        <s v="Mahmudin"/>
        <s v="Rantini"/>
        <s v="Agung H"/>
        <s v="Yusrizal"/>
        <s v="PM4206"/>
        <s v="ActionPay"/>
        <s v="External"/>
        <s v="BPH DPC+BKAP"/>
        <s v="BKAP"/>
        <s v="BPH DPC"/>
      </sharedItems>
    </cacheField>
    <cacheField name="Jenis" numFmtId="165">
      <sharedItems containsBlank="1">
        <s v="Saldo"/>
        <s v="Kegiatan"/>
        <s v="Rekonsil"/>
        <s v="Tunj Ops"/>
        <m/>
        <s v="Konsumsi"/>
        <s v="BMS"/>
        <s v="ITB"/>
        <s v="Taawun"/>
        <s v="IWB"/>
        <s v="Pinjaman"/>
        <s v="Lebih bayar"/>
        <s v="Infra"/>
        <s v="Kafalah"/>
        <s v="tunai"/>
        <s v="Tunjangan Ramadhan"/>
        <s v="Pinjam"/>
        <s v="UNKNOWN"/>
        <s v="Salkir"/>
        <s v="ops"/>
        <s v="Reimburse"/>
        <s v="Yayasan"/>
        <s v="Halbil"/>
        <s v="Tunj Aleg"/>
        <s v="Rutin"/>
        <s v="Bulanan"/>
        <s v="Apartemen"/>
        <s v="Tahunan"/>
        <s v="hadiah"/>
        <s v="talangan Mustopa"/>
        <s v="talangan giat humas"/>
        <s v="bedah buku"/>
        <s v="talangan studium generale"/>
        <s v="lain-lain"/>
        <s v="topup"/>
        <s v="iwb-belum-approve"/>
        <s v="salurkan ITB"/>
      </sharedItems>
    </cacheField>
    <cacheField name="Total Accounts" numFmtId="0">
      <sharedItems containsString="0" containsBlank="1" containsNumber="1" containsInteger="1">
        <m/>
        <n v="-800000.0"/>
        <n v="0.0"/>
        <n v="1.0E7"/>
        <n v="-6002306.0"/>
        <n v="410000.0"/>
        <n v="120000.0"/>
        <n v="-232000.0"/>
        <n v="300000.0"/>
        <n v="700000.0"/>
        <n v="-35000.0"/>
        <n v="-100000.0"/>
        <n v="-120000.0"/>
        <n v="-300000.0"/>
        <n v="-350000.0"/>
        <n v="-413000.0"/>
        <n v="-214000.0"/>
        <n v="-501203.0"/>
        <n v="150000.0"/>
        <n v="-7000000.0"/>
        <n v="-205000.0"/>
        <n v="-1000.0"/>
        <n v="-400000.0"/>
        <n v="840000.0"/>
        <n v="-219000.0"/>
        <n v="761300.0"/>
        <n v="-421200.0"/>
        <n v="-9952300.0"/>
        <n v="-3166300.0"/>
        <n v="-1161000.0"/>
        <n v="-250000.0"/>
        <n v="600000.0"/>
        <n v="3500000.0"/>
        <n v="50000.0"/>
        <n v="-100325.0"/>
        <n v="-5157500.0"/>
        <n v="7192600.0"/>
        <n v="-6259729.0"/>
        <n v="-1500000.0"/>
        <n v="-2000360.0"/>
        <n v="-215205.0"/>
        <n v="-416201.0"/>
        <n v="5700000.0"/>
        <n v="5000000.0"/>
        <n v="-3000339.0"/>
        <n v="-9000302.0"/>
        <n v="-7400000.0"/>
        <n v="2000000.0"/>
        <n v="-2300000.0"/>
        <n v="-675000.0"/>
        <n v="2300000.0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200000.0"/>
        <n v="-1711550.0"/>
        <n v="1.1716688E7"/>
        <n v="-5336798.0"/>
        <n v="-1260000.0"/>
        <n v="-200238.0"/>
        <n v="-200000.0"/>
        <n v="-301000.0"/>
        <n v="-2500314.0"/>
        <n v="-1258000.0"/>
        <n v="-202500.0"/>
        <n v="-392000.0"/>
        <n v="-446000.0"/>
        <n v="-3500000.0"/>
        <n v="-261000.0"/>
        <n v="-207000.0"/>
        <n v="-1410000.0"/>
        <n v="-351000.0"/>
        <n v="-500219.0"/>
        <n v="-600203.0"/>
        <n v="-3000307.0"/>
        <n v="-230200.0"/>
        <n v="-5000000.0"/>
        <n v="-810000.0"/>
        <n v="1.1615688E7"/>
        <n v="-4938525.0"/>
        <n v="1000000.0"/>
        <n v="500000.0"/>
        <n v="-359000.0"/>
        <n v="-305000.0"/>
        <n v="-750000.0"/>
        <n v="-277500.0"/>
        <n v="-700213.0"/>
        <n v="2500000.0"/>
        <n v="-500203.0"/>
        <n v="-425000.0"/>
        <n v="-247200.0"/>
        <n v="-700000.0"/>
        <n v="-152500.0"/>
        <n v="-300216.0"/>
        <n v="-1502500.0"/>
        <n v="-533000.0"/>
        <n v="-528000.0"/>
        <n v="-377000.0"/>
        <n v="-365000.0"/>
        <n v="-757000.0"/>
        <n v="-205202.0"/>
        <n v="-203000.0"/>
        <n v="-467000.0"/>
        <n v="-363000.0"/>
        <n v="9799725.0"/>
        <n v="-5363798.0"/>
        <n v="-298000.0"/>
        <n v="-478000.0"/>
        <n v="-489000.0"/>
        <n v="-3000344.0"/>
        <n v="-265000.0"/>
        <n v="-100317.0"/>
        <n v="-282500.0"/>
        <n v="-797000.0"/>
        <n v="-648000.0"/>
        <n v="-366000.0"/>
        <n v="-86000.0"/>
        <n v="-766000.0"/>
        <n v="-2000315.0"/>
        <n v="-1946500.0"/>
        <n v="-680000.0"/>
        <n v="-516000.0"/>
        <n v="-270000.0"/>
        <n v="-170000.0"/>
        <n v="-500319.0"/>
        <n v="550000.0"/>
        <n v="-300313.0"/>
        <n v="5542100.0"/>
        <n v="-2575410.0"/>
        <n v="-480000.0"/>
        <n v="-67000.0"/>
        <n v="-150000.0"/>
        <n v="-3000312.0"/>
        <n v="-2500304.0"/>
        <n v="-500000.0"/>
        <n v="-650000.0"/>
        <n v="-23000.0"/>
        <n v="-472300.0"/>
        <n v="3000000.0"/>
        <n v="-3000313.0"/>
        <n v="-174000.0"/>
        <n v="-800314.0"/>
        <n v="-117000.0"/>
        <n v="1.0108538E7"/>
        <n v="-5060340.0"/>
        <n v="-285000.0"/>
        <n v="-169000.0"/>
        <n v="-234000.0"/>
        <n v="-2500000.0"/>
        <n v="-403000.0"/>
        <n v="-300344.0"/>
        <n v="-200320.0"/>
        <n v="750000.0"/>
        <n v="-228000.0"/>
        <n v="-333000.0"/>
        <n v="-465000.0"/>
        <n v="-3000318.0"/>
        <n v="-373000.0"/>
        <n v="-3000322.0"/>
        <n v="-600000.0"/>
        <n v="-3000000.0"/>
        <n v="-498000.0"/>
        <n v="-500303.0"/>
        <n v="-445000.0"/>
        <n v="-6000301.0"/>
        <n v="7861975.0"/>
        <n v="-3466710.0"/>
        <n v="-220500.0"/>
        <n v="-4020300.0"/>
        <n v="-215000.0"/>
        <n v="-250300.0"/>
        <n v="-538000.0"/>
        <n v="-305301.0"/>
        <n v="-95000.0"/>
        <n v="-457000.0"/>
        <n v="-1160300.0"/>
        <n v="-83000.0"/>
        <n v="-793000.0"/>
        <n v="-315000.0"/>
        <n v="-500301.0"/>
        <n v="-250304.0"/>
        <n v="1.9E7"/>
        <n v="-259000.0"/>
        <n v="-8000300.0"/>
        <n v="-3000311.0"/>
        <n v="-227000.0"/>
        <n v="1.42849E7"/>
        <n v="-5498145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5575025.0"/>
        <n v="880000.0"/>
        <n v="-2293065.0"/>
        <n v="-3000304.0"/>
        <n v="-294000.0"/>
        <n v="-220000.0"/>
        <n v="-2500307.0"/>
        <n v="-344000.0"/>
        <n v="-1019000.0"/>
        <n v="-5000304.0"/>
        <n v="-500202.0"/>
        <n v="2695000.0"/>
        <n v="-317000.0"/>
        <n v="-500336.0"/>
        <n v="-130000.0"/>
        <n v="-4000316.0"/>
        <n v="-173000.0"/>
        <n v="4000000.0"/>
        <n v="-103000.0"/>
        <n v="-84000.0"/>
        <n v="-2695000.0"/>
        <n v="9417650.0"/>
        <n v="-6913890.0"/>
        <n v="-3000310.0"/>
        <n v="-60000.0"/>
        <n v="-25000.0"/>
        <n v="-5000300.0"/>
        <n v="-50000.0"/>
        <n v="-37000.0"/>
        <n v="-200377.0"/>
        <n v="-250377.0"/>
        <n v="1.1463275E7"/>
        <n v="-6512715.0"/>
        <n v="-129000.0"/>
        <n v="-576000.0"/>
        <n v="-135000.0"/>
        <n v="-250369.0"/>
        <n v="-172000.0"/>
        <n v="-160000.0"/>
        <n v="-335000.0"/>
        <n v="-44000.0"/>
        <n v="-1150000.0"/>
      </sharedItems>
    </cacheField>
    <cacheField name="Rek 7212" numFmtId="165">
      <sharedItems containsString="0" containsBlank="1" containsNumber="1">
        <n v="6.787939879E7"/>
        <m/>
        <n v="-3.0E7"/>
        <n v="1.0E7"/>
        <n v="410000.0"/>
        <n v="120000.0"/>
        <n v="300000.0"/>
        <n v="700000.0"/>
        <n v="150000.0"/>
        <n v="761300.0"/>
        <n v="-2.0E7"/>
        <n v="600000.0"/>
        <n v="3500000.0"/>
        <n v="50000.0"/>
        <n v="7192600.0"/>
        <n v="5700000.0"/>
        <n v="5000000.0"/>
        <n v="2000000.0"/>
        <n v="-2.5E7"/>
        <n v="-1.5E7"/>
        <n v="1.1716688E7"/>
        <n v="200000.0"/>
        <n v="1.1615688E7"/>
        <n v="1000000.0"/>
        <n v="500000.0"/>
        <n v="2500000.0"/>
        <n v="9799725.0"/>
        <n v="550000.0"/>
        <n v="5542100.0"/>
        <n v="3000000.0"/>
        <n v="1.0108538E7"/>
        <n v="7861975.0"/>
        <n v="1.9E7"/>
        <n v="-2.8E7"/>
        <n v="1.42849E7"/>
        <n v="-5498145.0"/>
        <n v="5575025.0"/>
        <n v="880000.0"/>
        <n v="2695000.0"/>
        <n v="9417650.0"/>
        <n v="-6913890.0"/>
        <n v="1.1463275E7"/>
        <n v="-6512715.0"/>
        <n v="-1.0E7"/>
        <n v="270000.0"/>
      </sharedItems>
    </cacheField>
    <cacheField name="Rek 7137" numFmtId="165">
      <sharedItems containsString="0" containsBlank="1" containsNumber="1">
        <n v="2.948326199E7"/>
        <m/>
      </sharedItems>
    </cacheField>
    <cacheField name="Rek 79100" numFmtId="165">
      <sharedItems containsString="0" containsBlank="1" containsNumber="1" containsInteger="1">
        <n v="0.0"/>
        <n v="-800000.0"/>
        <n v="3.0E7"/>
        <m/>
        <n v="-6002306.0"/>
        <n v="-232000.0"/>
        <n v="-35000.0"/>
        <n v="-100000.0"/>
        <n v="-120000.0"/>
        <n v="-300000.0"/>
        <n v="-350000.0"/>
        <n v="-413000.0"/>
        <n v="-214000.0"/>
        <n v="-501203.0"/>
        <n v="-7000000.0"/>
        <n v="-205000.0"/>
        <n v="-401000.0"/>
        <n v="840000.0"/>
        <n v="-219000.0"/>
        <n v="-421200.0"/>
        <n v="-9952300.0"/>
        <n v="-3166300.0"/>
        <n v="-1161000.0"/>
        <n v="2.0E7"/>
        <n v="-1851000.0"/>
        <n v="-51000.0"/>
        <n v="-400000.0"/>
        <n v="-100325.0"/>
        <n v="-5157500.0"/>
        <n v="-6259729.0"/>
        <n v="-1500000.0"/>
        <n v="-2000360.0"/>
        <n v="-215205.0"/>
        <n v="-416201.0"/>
        <n v="-3000339.0"/>
        <n v="-9000302.0"/>
        <n v="-7400000.0"/>
        <n v="-2300000.0"/>
        <n v="-675000.0"/>
        <n v="2300000.0"/>
        <n v="2000000.0"/>
        <n v="-1239000.0"/>
        <n v="2.5E7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1.5E7"/>
        <n v="200000.0"/>
        <n v="-1711550.0"/>
        <n v="-5336798.0"/>
        <n v="-1260000.0"/>
        <n v="-200238.0"/>
        <n v="-200000.0"/>
        <n v="-301000.0"/>
        <n v="-2500314.0"/>
        <n v="-1258000.0"/>
        <n v="-202500.0"/>
        <n v="-3500000.0"/>
        <n v="-500219.0"/>
        <n v="-3067000.0"/>
        <n v="600000.0"/>
        <n v="-600203.0"/>
        <n v="-3000307.0"/>
        <n v="-230200.0"/>
        <n v="-5000000.0"/>
        <n v="-810000.0"/>
        <n v="-4938525.0"/>
        <n v="-750000.0"/>
        <n v="-700213.0"/>
        <n v="-941000.0"/>
        <n v="-500203.0"/>
        <n v="-247200.0"/>
        <n v="-700000.0"/>
        <n v="-300216.0"/>
        <n v="-1502500.0"/>
        <n v="-2500000.0"/>
        <n v="-1723000.0"/>
        <n v="-205202.0"/>
        <n v="-2580000.0"/>
        <n v="-467000.0"/>
        <n v="-5363798.0"/>
        <n v="-3000344.0"/>
        <n v="-2505000.0"/>
        <n v="-100317.0"/>
        <n v="-282500.0"/>
        <n v="-797000.0"/>
        <n v="-265000.0"/>
        <n v="-2000315.0"/>
        <n v="-2266000.0"/>
        <n v="-1946500.0"/>
        <n v="-680000.0"/>
        <n v="-516000.0"/>
        <n v="-440000.0"/>
        <n v="-500319.0"/>
        <n v="-300313.0"/>
        <n v="-2575410.0"/>
        <n v="-500000.0"/>
        <n v="-997000.0"/>
        <n v="-3000312.0"/>
        <n v="-2500304.0"/>
        <n v="-650000.0"/>
        <n v="-472300.0"/>
        <n v="-3000313.0"/>
        <n v="-800314.0"/>
        <n v="-5060340.0"/>
        <n v="-1408000.0"/>
        <n v="-300344.0"/>
        <n v="-200320.0"/>
        <n v="750000.0"/>
        <n v="-250000.0"/>
        <n v="-1863000.0"/>
        <n v="-3000318.0"/>
        <n v="-373000.0"/>
        <n v="-3000322.0"/>
        <n v="-600000.0"/>
        <n v="-3000000.0"/>
        <n v="-500303.0"/>
        <n v="-6000301.0"/>
        <n v="-4980004.0"/>
        <n v="4980000.0"/>
        <n v="-498000.0"/>
        <n v="-3466710.0"/>
        <n v="-220500.0"/>
        <n v="-4020300.0"/>
        <n v="-250300.0"/>
        <n v="-305301.0"/>
        <n v="-1198000.0"/>
        <n v="-1160300.0"/>
        <n v="-1038000.0"/>
        <n v="-793000.0"/>
        <n v="-315000.0"/>
        <n v="-500301.0"/>
        <n v="-250304.0"/>
        <n v="-259000.0"/>
        <n v="-8000300.0"/>
        <n v="2.8E7"/>
        <n v="-3000311.0"/>
        <n v="-227000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-2293065.0"/>
        <n v="-3000304.0"/>
        <n v="300000.0"/>
        <n v="-2500307.0"/>
        <n v="-1019000.0"/>
        <n v="-858000.0"/>
        <n v="-5000304.0"/>
        <n v="-500202.0"/>
        <n v="-2044000.0"/>
        <n v="-500336.0"/>
        <n v="-317000.0"/>
        <n v="-4000316.0"/>
        <n v="-1324000.0"/>
        <n v="4000000.0"/>
        <n v="-506000.0"/>
        <n v="-2695000.0"/>
        <n v="-414000.0"/>
        <n v="-3000310.0"/>
        <n v="-521000.0"/>
        <n v="-5000300.0"/>
        <n v="-374000.0"/>
        <n v="-738000.0"/>
        <n v="-801000.0"/>
        <n v="-200377.0"/>
        <n v="-250377.0"/>
        <n v="-493000.0"/>
        <n v="1.0E7"/>
        <n v="-270000.0"/>
        <n v="-1643000.0"/>
        <n v="-250369.0"/>
        <n v="-538000.0"/>
        <n v="-887000.0"/>
        <n v="-1150000.0"/>
      </sharedItems>
    </cacheField>
    <cacheField name="Bea admin" numFmtId="0">
      <sharedItems containsString="0" containsBlank="1" containsNumber="1" containsInteger="1">
        <m/>
        <n v="2306.0"/>
        <n v="1203.0"/>
        <n v="1000.0"/>
        <n v="1200.0"/>
        <n v="2300.0"/>
        <n v="1300.0"/>
        <n v="325.0"/>
        <n v="2500.0"/>
        <n v="360.0"/>
        <n v="205.0"/>
        <n v="201.0"/>
        <n v="339.0"/>
        <n v="302.0"/>
        <n v="315.0"/>
        <n v="300.0"/>
        <n v="238.0"/>
        <n v="314.0"/>
        <n v="219.0"/>
        <n v="203.0"/>
        <n v="307.0"/>
        <n v="213.0"/>
        <n v="200.0"/>
        <n v="216.0"/>
        <n v="202.0"/>
        <n v="344.0"/>
        <n v="317.0"/>
        <n v="319.0"/>
        <n v="313.0"/>
        <n v="312.0"/>
        <n v="304.0"/>
        <n v="320.0"/>
        <n v="318.0"/>
        <n v="322.0"/>
        <n v="303.0"/>
        <n v="301.0"/>
        <n v="311.0"/>
        <n v="336.0"/>
        <n v="316.0"/>
        <n v="310.0"/>
        <n v="377.0"/>
        <n v="369.0"/>
      </sharedItems>
    </cacheField>
    <cacheField name="Asep" numFmtId="0">
      <sharedItems containsString="0" containsBlank="1" containsNumber="1" containsInteger="1">
        <m/>
        <n v="1239000.0"/>
        <n v="-392000.0"/>
        <n v="-446000.0"/>
        <n v="-261000.0"/>
        <n v="-207000.0"/>
        <n v="-1410000.0"/>
        <n v="-351000.0"/>
        <n v="3067000.0"/>
        <n v="-359000.0"/>
        <n v="-305000.0"/>
        <n v="-277500.0"/>
        <n v="941000.0"/>
        <n v="-425000.0"/>
        <n v="-152500.0"/>
        <n v="-533000.0"/>
        <n v="-528000.0"/>
        <n v="-377000.0"/>
        <n v="-365000.0"/>
        <n v="2500000.0"/>
        <n v="-757000.0"/>
        <n v="1723000.0"/>
        <n v="2580000.0"/>
        <n v="-203000.0"/>
        <n v="-120000.0"/>
        <n v="-363000.0"/>
        <n v="-298000.0"/>
        <n v="-478000.0"/>
        <n v="-489000.0"/>
        <n v="-265000.0"/>
        <n v="2505000.0"/>
        <n v="-648000.0"/>
        <n v="-366000.0"/>
        <n v="265000.0"/>
        <n v="-200000.0"/>
        <n v="-86000.0"/>
        <n v="-766000.0"/>
        <n v="2266000.0"/>
        <n v="-270000.0"/>
        <n v="-170000.0"/>
        <n v="-300000.0"/>
        <n v="200000.0"/>
        <n v="440000.0"/>
        <n v="500000.0"/>
        <n v="-480000.0"/>
        <n v="-67000.0"/>
        <n v="-150000.0"/>
        <n v="997000.0"/>
        <n v="650000.0"/>
        <n v="-23000.0"/>
        <n v="-174000.0"/>
        <n v="-117000.0"/>
        <n v="-285000.0"/>
        <n v="-169000.0"/>
        <n v="-234000.0"/>
        <n v="1408000.0"/>
        <n v="-403000.0"/>
        <n v="-228000.0"/>
        <n v="-333000.0"/>
        <n v="-465000.0"/>
        <n v="1863000.0"/>
        <n v="-498000.0"/>
        <n v="-445000.0"/>
        <n v="4980004.0"/>
        <n v="-4980000.0"/>
        <n v="498000.0"/>
        <n v="-215000.0"/>
        <n v="-538000.0"/>
        <n v="1198000.0"/>
        <n v="-95000.0"/>
        <n v="-457000.0"/>
        <n v="-83000.0"/>
        <n v="1038000.0"/>
        <n v="-294000.0"/>
        <n v="-220000.0"/>
        <n v="-344000.0"/>
        <n v="858000.0"/>
        <n v="-317000.0"/>
        <n v="2044000.0"/>
        <n v="317000.0"/>
        <n v="-130000.0"/>
        <n v="1324000.0"/>
        <n v="-173000.0"/>
        <n v="506000.0"/>
        <n v="-103000.0"/>
        <n v="-227000.0"/>
        <n v="-84000.0"/>
        <n v="414000.0"/>
        <n v="-60000.0"/>
        <n v="-25000.0"/>
        <n v="521000.0"/>
        <n v="374000.0"/>
        <n v="738000.0"/>
        <n v="-50000.0"/>
        <n v="-37000.0"/>
        <n v="493000.0"/>
        <n v="-129000.0"/>
        <n v="-600000.0"/>
        <n v="-576000.0"/>
        <n v="-135000.0"/>
        <n v="1643000.0"/>
        <n v="538000.0"/>
        <n v="-172000.0"/>
        <n v="-160000.0"/>
        <n v="-335000.0"/>
        <n v="-44000.0"/>
        <n v="887000.0"/>
        <n v="-350000.0"/>
        <n v="3500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207" sheet="Utama"/>
  </cacheSource>
  <cacheFields>
    <cacheField name="Tanggal" numFmtId="164">
      <sharedItems containsDate="1" containsString="0" containsBlank="1">
        <d v="2025-01-31T00:00:00Z"/>
        <d v="2025-02-02T00:00:00Z"/>
        <d v="2025-02-03T00:00:00Z"/>
        <d v="2025-02-07T00:00:00Z"/>
        <d v="2025-02-08T00:00:00Z"/>
        <d v="2025-02-09T00:00:00Z"/>
        <d v="2025-02-12T00:00:00Z"/>
        <d v="2025-02-13T00:00:00Z"/>
        <d v="2025-02-14T00:00:00Z"/>
        <d v="2025-02-16T00:00:00Z"/>
        <d v="2025-02-17T00:00:00Z"/>
        <d v="2025-02-18T00:00:00Z"/>
        <d v="2025-02-20T00:00:00Z"/>
        <d v="2025-02-22T00:00:00Z"/>
        <d v="2025-02-23T00:00:00Z"/>
        <d v="2025-02-24T00:00:00Z"/>
        <d v="2025-02-25T00:00:00Z"/>
        <d v="2025-02-26T00:00:00Z"/>
        <d v="2025-02-28T00:00:00Z"/>
        <d v="2025-03-05T00:00:00Z"/>
        <d v="2025-03-06T00:00:00Z"/>
        <d v="2025-03-07T00:00:00Z"/>
        <d v="2025-03-08T00:00:00Z"/>
        <d v="2025-03-10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6T00:00:00Z"/>
        <d v="2025-03-27T00:00:00Z"/>
        <d v="2025-03-28T00:00:00Z"/>
        <d v="2025-03-30T00:00:00Z"/>
        <d v="2025-04-10T00:00:00Z"/>
        <d v="2025-04-11T00:00:00Z"/>
        <d v="2025-04-12T00:00:00Z"/>
        <d v="2025-04-13T00:00:00Z"/>
        <d v="2025-04-17T00:00:00Z"/>
        <d v="2025-04-18T00:00:00Z"/>
        <d v="2025-04-19T00:00:00Z"/>
        <d v="2025-04-20T00:00:00Z"/>
        <d v="2025-04-21T00:00:00Z"/>
        <d v="2025-04-23T00:00:00Z"/>
        <d v="2025-04-24T00:00:00Z"/>
        <d v="2025-04-28T00:00:00Z"/>
        <d v="2025-04-30T00:00:00Z"/>
        <d v="2025-05-02T00:00:00Z"/>
        <d v="2025-05-03T00:00:00Z"/>
        <d v="2025-05-04T00:00:00Z"/>
        <d v="2025-05-06T00:00:00Z"/>
        <d v="2025-05-07T00:00:00Z"/>
        <d v="2025-05-08T00:00:00Z"/>
        <d v="2025-05-09T00:00:00Z"/>
        <d v="2025-05-10T00:00:00Z"/>
        <d v="2025-05-11T00:00:00Z"/>
        <d v="2025-05-15T00:00:00Z"/>
        <d v="2025-05-16T00:00:00Z"/>
        <d v="2025-05-17T00:00:00Z"/>
        <d v="2025-05-18T00:00:00Z"/>
        <d v="2025-05-20T00:00:00Z"/>
        <d v="2025-05-25T00:00:00Z"/>
        <d v="2025-05-28T00:00:00Z"/>
        <d v="2025-05-29T00:00:00Z"/>
        <d v="2025-05-30T00:00:00Z"/>
        <d v="2025-05-31T00:00:00Z"/>
        <d v="2025-06-01T00:00:00Z"/>
        <d v="2025-06-03T00:00:00Z"/>
        <d v="2025-06-07T00:00:00Z"/>
        <d v="2025-06-08T00:00:00Z"/>
        <d v="2025-06-11T00:00:00Z"/>
        <d v="2025-06-13T00:00:00Z"/>
        <d v="2025-06-15T00:00:00Z"/>
        <d v="2025-06-16T00:00:00Z"/>
        <d v="2025-06-17T00:00:00Z"/>
        <d v="2025-06-21T00:00:00Z"/>
        <d v="2025-06-23T00:00:00Z"/>
        <d v="2025-06-24T00:00:00Z"/>
        <d v="2025-06-25T00:00:00Z"/>
        <d v="2025-06-26T00:00:00Z"/>
        <d v="2025-06-27T00:00:00Z"/>
        <d v="2025-06-30T00:00:00Z"/>
        <d v="2025-07-02T00:00:00Z"/>
        <d v="2025-07-03T00:00:00Z"/>
        <d v="2025-07-06T00:00:00Z"/>
        <d v="2025-07-07T00:00:00Z"/>
        <d v="2025-07-08T00:00:00Z"/>
        <d v="2025-07-09T00:00:00Z"/>
        <d v="2025-07-10T00:00:00Z"/>
        <d v="2025-07-14T00:00:00Z"/>
        <d v="2025-07-17T00:00:00Z"/>
        <d v="2025-07-18T00:00:00Z"/>
        <d v="2025-07-19T00:00:00Z"/>
        <d v="2025-07-20T00:00:00Z"/>
        <d v="2025-07-21T00:00:00Z"/>
        <d v="2025-07-22T00:00:00Z"/>
        <d v="2025-07-25T00:00:00Z"/>
        <d v="2025-07-26T00:00:00Z"/>
        <d v="2025-07-27T00:00:00Z"/>
        <d v="2025-07-28T00:00:00Z"/>
        <d v="2025-07-29T00:00:00Z"/>
        <d v="2025-07-31T00:00:00Z"/>
        <d v="2025-08-01T00:00:00Z"/>
        <d v="2025-08-02T00:00:00Z"/>
        <d v="2025-08-03T00:00:00Z"/>
        <d v="2025-08-04T00:00:00Z"/>
        <d v="2025-08-07T00:00:00Z"/>
        <d v="2025-08-08T00:00:00Z"/>
        <d v="2025-08-09T00:00:00Z"/>
        <d v="2025-08-10T00:00:00Z"/>
        <d v="2025-08-15T00:00:00Z"/>
        <d v="2025-08-18T00:00:00Z"/>
        <d v="2025-08-20T00:00:00Z"/>
        <d v="2025-08-21T00:00:00Z"/>
        <d v="2025-08-22T00:00:00Z"/>
        <d v="2025-08-23T00:00:00Z"/>
        <d v="2025-08-24T00:00:00Z"/>
        <d v="2025-08-27T00:00:00Z"/>
        <d v="2025-08-28T00:00:00Z"/>
        <d v="2025-08-29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10T00:00:00Z"/>
        <d v="2025-09-11T00:00:00Z"/>
        <d v="2025-09-12T00:00:00Z"/>
        <d v="2025-09-13T00:00:00Z"/>
        <d v="2025-09-15T00:00:00Z"/>
        <d v="2025-09-17T00:00:00Z"/>
        <d v="2025-09-18T00:00:00Z"/>
        <d v="2025-09-21T00:00:00Z"/>
        <d v="2025-09-22T00:00:00Z"/>
        <d v="2025-09-23T00:00:00Z"/>
        <d v="2025-09-25T00:00:00Z"/>
        <d v="2025-09-30T00:00:00Z"/>
        <d v="2025-10-01T00:00:00Z"/>
        <d v="2025-10-02T00:00:00Z"/>
        <d v="2025-10-04T00:00:00Z"/>
        <d v="2025-10-05T00:00:00Z"/>
        <d v="2025-10-07T00:00:00Z"/>
        <d v="2025-10-08T00:00:00Z"/>
        <d v="2025-10-10T00:00:00Z"/>
        <d v="2025-10-14T00:00:00Z"/>
        <d v="2025-10-15T00:00:00Z"/>
        <d v="2025-10-16T00:00:00Z"/>
        <d v="2025-10-17T00:00:00Z"/>
        <d v="2025-10-20T00:00:00Z"/>
        <d v="2025-10-21T00:00:00Z"/>
        <d v="2025-10-23T00:00:00Z"/>
        <d v="2025-10-25T00:00:00Z"/>
        <d v="2025-10-28T00:00:00Z"/>
        <d v="2025-10-29T00:00:00Z"/>
        <d v="2025-10-30T00:00:00Z"/>
        <d v="2025-10-31T00:00:00Z"/>
        <d v="2025-11-02T00:00:00Z"/>
        <d v="2025-11-03T00:00:00Z"/>
        <d v="2025-11-04T00:00:00Z"/>
        <d v="2025-11-06T00:00:00Z"/>
        <d v="2025-11-07T00:00:00Z"/>
        <d v="2025-11-08T00:00:00Z"/>
        <d v="2025-11-09T00:00:00Z"/>
        <d v="2025-11-11T00:00:00Z"/>
        <d v="2025-11-15T00:00:00Z"/>
        <d v="2025-11-19T00:00:00Z"/>
        <d v="2025-11-20T00:00:00Z"/>
        <d v="2025-11-21T00:00:00Z"/>
        <d v="2025-11-22T00:00:00Z"/>
        <d v="2025-11-23T00:00:00Z"/>
        <d v="2025-11-25T00:00:00Z"/>
        <d v="2025-11-26T00:00:00Z"/>
        <d v="2025-11-27T00:00:00Z"/>
        <d v="2025-11-28T00:00:00Z"/>
        <d v="2025-11-29T00:00:00Z"/>
        <d v="2025-12-01T00:00:00Z"/>
        <d v="2025-12-03T00:00:00Z"/>
        <d v="2025-12-04T00:00:00Z"/>
        <d v="2025-12-06T00:00:00Z"/>
        <d v="2025-12-07T00:00:00Z"/>
        <d v="2025-12-08T00:00:00Z"/>
        <d v="2025-12-09T00:00:00Z"/>
        <d v="2025-12-10T00:00:00Z"/>
        <d v="2025-12-13T00:00:00Z"/>
        <d v="2025-12-16T00:00:00Z"/>
        <d v="2025-12-17T00:00:00Z"/>
        <d v="2025-12-19T00:00:00Z"/>
        <d v="2025-12-21T00:00:00Z"/>
        <d v="2025-12-23T00:00:00Z"/>
        <d v="2025-12-24T00:00:00Z"/>
        <d v="2025-12-25T00:00:00Z"/>
        <d v="2025-12-26T00:00:00Z"/>
        <d v="2025-12-27T00:00:00Z"/>
        <d v="2025-12-28T00:00:00Z"/>
        <d v="2025-12-31T00:00:00Z"/>
        <d v="2026-01-01T00:00:00Z"/>
        <d v="2026-01-07T00:00:00Z"/>
        <d v="2026-01-09T00:00:00Z"/>
        <d v="2026-01-11T00:00:00Z"/>
        <d v="2026-01-14T00:00:00Z"/>
        <d v="2026-01-16T00:00:00Z"/>
        <d v="2026-01-18T00:00:00Z"/>
        <d v="2026-01-19T00:00:00Z"/>
        <d v="2026-01-20T00:00:00Z"/>
        <d v="2026-01-21T00:00:00Z"/>
        <d v="2026-01-22T00:00:00Z"/>
        <d v="2026-01-23T00:00:00Z"/>
        <d v="2026-01-25T00:00:00Z"/>
        <d v="2026-01-27T00:00:00Z"/>
        <d v="2026-01-28T00:00:00Z"/>
        <d v="2026-02-01T00:00:00Z"/>
        <d v="2026-02-03T00:00:00Z"/>
        <d v="2026-02-06T00:00:00Z"/>
        <d v="2026-02-08T00:00:00Z"/>
        <d v="2026-02-12T00:00:00Z"/>
        <d v="2026-02-14T00:00:00Z"/>
        <d v="2026-02-15T00:00:00Z"/>
        <d v="2026-02-17T00:00:00Z"/>
        <d v="2026-02-18T00:00:00Z"/>
        <d v="2026-02-21T00:00:00Z"/>
        <d v="2026-02-23T00:00:00Z"/>
        <d v="2026-02-27T00:00:00Z"/>
        <d v="2026-02-28T00:00:00Z"/>
        <d v="2026-03-01T00:00:00Z"/>
        <d v="2026-03-06T00:00:00Z"/>
        <d v="2026-03-07T00:00:00Z"/>
        <d v="2026-03-09T00:00:00Z"/>
        <d v="2026-03-10T00:00:00Z"/>
        <d v="2026-03-11T00:00:00Z"/>
        <d v="2026-03-13T00:00:00Z"/>
        <d v="2026-03-14T00:00:00Z"/>
        <d v="2026-03-15T00:00:00Z"/>
        <d v="2026-03-16T00:00:00Z"/>
        <d v="2026-03-17T00:00:00Z"/>
        <d v="2026-03-18T00:00:00Z"/>
        <d v="2026-03-20T00:00:00Z"/>
        <d v="2026-03-21T00:00:00Z"/>
        <d v="2026-03-22T00:00:00Z"/>
        <d v="2026-03-23T00:00:00Z"/>
        <d v="2026-03-26T00:00:00Z"/>
        <d v="2026-03-29T00:00:00Z"/>
        <d v="2026-04-01T00:00:00Z"/>
        <d v="2026-04-02T00:00:00Z"/>
        <d v="2026-04-03T00:00:00Z"/>
        <d v="2026-04-05T00:00:00Z"/>
        <d v="2026-04-07T00:00:00Z"/>
        <d v="2026-04-08T00:00:00Z"/>
        <d v="2026-04-09T00:00:00Z"/>
        <d v="2026-04-11T00:00:00Z"/>
        <d v="2026-04-12T00:00:00Z"/>
        <d v="2026-04-13T00:00:00Z"/>
        <d v="2026-04-15T00:00:00Z"/>
        <d v="2026-04-18T00:00:00Z"/>
        <d v="2026-04-19T00:00:00Z"/>
        <d v="2026-04-20T00:00:00Z"/>
        <d v="2026-04-21T00:00:00Z"/>
        <d v="2026-04-22T00:00:00Z"/>
        <d v="2026-04-23T00:00:00Z"/>
        <d v="2026-04-27T00:00:00Z"/>
        <d v="2026-04-26T00:00:00Z"/>
        <d v="2026-04-28T00:00:00Z"/>
        <d v="2026-04-29T00:00:00Z"/>
        <d v="2026-04-30T00:00:00Z"/>
        <d v="2026-05-02T00:00:00Z"/>
        <d v="2026-05-21T00:00:00Z"/>
        <d v="2026-05-25T00:00:00Z"/>
        <d v="2026-05-27T00:00:00Z"/>
        <d v="2026-05-30T00:00:00Z"/>
        <d v="2026-06-04T00:00:00Z"/>
        <d v="2026-06-09T00:00:00Z"/>
        <d v="2026-06-14T00:00:00Z"/>
        <d v="2026-06-06T00:00:00Z"/>
        <d v="2026-06-07T00:00:00Z"/>
        <d v="2026-06-13T00:00:00Z"/>
        <d v="2026-06-16T00:00:00Z"/>
        <d v="2026-06-21T00:00:00Z"/>
        <d v="2026-06-27T00:00:00Z"/>
        <d v="2026-06-30T00:00:00Z"/>
        <d v="2026-07-01T00:00:00Z"/>
        <d v="2026-06-24T00:00:00Z"/>
        <d v="2026-07-03T00:00:00Z"/>
        <d v="2026-07-05T00:00:00Z"/>
        <d v="2026-07-06T00:00:00Z"/>
        <d v="2026-07-07T00:00:00Z"/>
        <d v="2026-07-16T00:00:00Z"/>
        <d v="2026-07-18T00:00:00Z"/>
        <d v="2026-07-17T00:00:00Z"/>
        <d v="2026-07-11T00:00:00Z"/>
        <d v="2026-07-19T00:00:00Z"/>
        <d v="2026-07-21T00:00:00Z"/>
        <d v="2026-07-22T00:00:00Z"/>
        <d v="2026-07-24T00:00:00Z"/>
        <d v="2026-07-29T00:00:00Z"/>
        <d v="2026-07-31T00:00:00Z"/>
        <d v="2026-08-02T00:00:00Z"/>
        <d v="2026-08-06T00:00:00Z"/>
        <d v="2026-08-14T00:00:00Z"/>
        <d v="2026-08-16T00:00:00Z"/>
        <d v="2026-08-21T00:00:00Z"/>
        <d v="2026-08-24T00:00:00Z"/>
        <d v="2026-08-23T00:00:00Z"/>
        <d v="2026-08-30T00:00:00Z"/>
        <d v="2026-08-31T00:00:00Z"/>
        <d v="2026-09-06T00:00:00Z"/>
        <d v="2026-09-07T00:00:00Z"/>
        <d v="2026-09-08T00:00:00Z"/>
        <d v="2026-09-25T00:00:00Z"/>
        <d v="2026-09-27T00:00:00Z"/>
        <d v="2026-09-30T00:00:00Z"/>
        <d v="2026-10-02T00:00:00Z"/>
        <d v="2026-10-03T00:00:00Z"/>
        <m/>
      </sharedItems>
    </cacheField>
    <cacheField name="Kegiatan" numFmtId="0">
      <sharedItems containsBlank="1">
        <m/>
        <s v="Bantu pelatihan Kepanduan"/>
        <s v="Trf Operasional"/>
        <s v="Bantuan ops dr DPD"/>
        <s v="Salurkan ke DPRa via flip (6Dpra x 2bln x 500rb)"/>
        <s v="IWB PM3252 (360rb Lusiana, 50rb nuraini, balqis, sri m, indriyani, ni'mah)"/>
        <s v="Titipan Untuk Mandiri PM3262"/>
        <s v="Beli makan malam meet DPC"/>
        <s v="titipan BMS Hendra Hidayat"/>
        <s v="Titipan ITB (7x50rb) IWB (7x50rb) Hendra Hidayat PM4101"/>
        <s v="Tambahan makan malam"/>
        <s v="Minuman meet"/>
        <s v="Rekonsil titipan untuk Matsu'i"/>
        <s v="setor bms pak Hendra Hidayat"/>
        <s v="bayarkan ITB pak Hendra"/>
        <s v="reimburse bea rapat ke Asep"/>
        <s v="reimburse makanan rapat Bu Ika"/>
        <s v="santunan lakalantas Nur Ikhwanto"/>
        <s v="Pak Hamdi titip IWAI"/>
        <s v="pemberian pinjaman Muhsinin"/>
        <s v="Reimburse konsumsi link and match dan diskusi kaderisasi"/>
        <s v="topup actionpay untuk bayarkan ITB PM3221 / PM3206"/>
        <s v="bayarkan ITB PM3221 / PM3206"/>
        <s v="terima koreksi salkir dari ZS untuk ITB dan IWB PM3221 / PM3206"/>
        <s v="reimburse konsumsi panitia musran &amp; tarhib Ramadhan"/>
        <s v="Terima titipan IWB ITB PM3203"/>
        <s v="konsumsi acara BKKD"/>
        <s v="operasional musran gabungan"/>
        <s v="konsumsi musran gabungan"/>
        <s v="reimburse konsumsi dpc 20,21 feb"/>
        <s v="topup kas 79100"/>
        <s v="topup actionpay"/>
        <s v="bayarkan ITB PM 3203"/>
        <s v="bayarkan ITB PM 3213"/>
        <s v="bayarkan ITB PM 3261"/>
        <s v="bayarkan ITB PM 3235"/>
        <s v="bayarkan ITM PM 3212"/>
        <s v="terima ITB PM 3235"/>
        <s v="Pengembalian hutang ust Muhsinin"/>
        <s v="reimburse dari reza salah bayar ITB"/>
        <s v="bayar ITB PM 3235 Jan"/>
        <s v="Bayar giat"/>
        <s v="Lebih bayar PM3203"/>
        <s v="Reimburse design kantor dan ngafe"/>
        <s v="Total IWB"/>
        <s v="Setor IWB"/>
        <s v="Kafalah Asep Irawan Feb25"/>
        <s v="Santunan Bencana Bu Tita"/>
        <s v="Spanduk Tarhib dan rapat humas"/>
        <s v="Reimburse Rapat"/>
        <s v="trf ops"/>
        <s v="setor tunai dari sertijab"/>
        <s v="Ops dari DPD"/>
        <s v="Support DPRa Mar25"/>
        <s v="Support Ramadhan DPRa"/>
        <s v="Beli AC"/>
        <s v="Support beli AC"/>
        <s v="Ops Banjir"/>
        <s v="rapat dan bukber pandu"/>
        <s v="Talangan dari Reza"/>
        <s v="Pinjaman dari Reza"/>
        <s v="Reimburse Asep"/>
        <s v="Topup"/>
        <s v="Hari bersama AlQuran"/>
        <s v="Talangan kegiatan kaderisasi"/>
        <s v="Fwd BMS Budi Susetyo"/>
        <s v="THR Kang Asep"/>
        <s v="Kiswatul Ied Aromil"/>
        <s v="Pengembalian talangan Kaderisasi"/>
        <s v="Pengembalian talangan reza 2.3jt 10 Mar"/>
        <s v="Pengembalian talangan reza 2jt 10 Mar"/>
        <s v="cetak stiker untuk depan kantor"/>
        <s v="Pengembalian pinjaman Muhsinin F"/>
        <s v="Beli Buku pak Sadulah"/>
        <s v="Sumbangan dari Kubub"/>
        <s v="Belasungkawa Ket DPC Cilodong"/>
        <s v="Bea bukber Rumah Putih"/>
        <s v="Backdrop"/>
        <s v="Tambahan kiswatul ied"/>
        <s v="Lebih Bayar PM3241"/>
        <s v="Ops ke Rek Reza"/>
        <s v="PEngembalian salkir Pak Ali"/>
        <s v="Beli wireless mic"/>
        <s v="setor IWB ke DPD"/>
        <s v="ifthor panziswaf 23-24, angkut paket dari Bang Kholid"/>
        <s v="Pengembalian salkir Pak Ali ke Bend Grup"/>
        <s v="salkir infaq plstina"/>
        <s v="koreksi salkir"/>
        <s v="??"/>
        <s v="ops panitia ziswaf"/>
        <s v="kafalah bulanan Asep"/>
        <s v="reimburse ifthor panziswaf, iuran bulanan 200rb, wifi 277rb"/>
        <s v="konsumsi pandu bantuan banjir ust Anwar"/>
        <s v="Rapat DPC &amp; panitia halbil &#10;&#10;- semangka                     67 rb&#10;- keruk                              47 rb&#10;- anggur                           70 rb&#10;- martabak telor @2      74 rb&#10;- martabak manis @2   70 rb&#10;- air mineral                     18 rb&#10;- keri"/>
        <s v="Rapat tim survey &amp; ifthor &#10;- jus                               96 rb&#10;- snack                          80 rb&#10;- kebuli kambing       260 rb&#10;- tisu                              10 rb"/>
        <s v="Pendirian yayasan"/>
        <s v="Indomaret                           95 rb&#10;Batrai alkaline&#10;Kamper toilet&#10;&#10;Galon dan air                     40 rb&#10;Gelas kertas &amp; kopi        126 rb"/>
        <s v="Meja laptop"/>
        <s v="Konsumsi pra raker&#10;- snack  30 @10           300 rb&#10;- jus 30                           330 rb&#10;- nasbox padang          697 rb&#10;- air 2 dus + botol           68 rb&#10;- tisu                                  15 rb"/>
        <s v="Perbaikan atas bocor &#10;Polingkut                 151 rb&#10;Tukang                     200 rb"/>
        <s v="Santunan sakit Mardi dan suami Bu Rini"/>
        <s v="Reimburse giat 13-20 apr"/>
        <s v="Refund kelebihan trf Sutrisno"/>
        <s v="Tunjangan DPRa Mar25"/>
        <s v="Konsumsi rapat DPC"/>
        <s v="DP biaya panitia halbil"/>
        <s v="Topup Rek DPC Reza"/>
        <s v="pengeluaran DPC bulan April 2025&#10;&#10;&#10;Pulsa Listrik DPC   500 rb&#10;Stok air botol bisto 4&#10;Gelas 1                    125 rb &#10;Otomatis Radar        85 rb&#10;Tukang pasang      100 rb &#10;&#10;&#10;Total                         810 rb"/>
        <s v="Support H Kholid"/>
        <s v="Bantuan bunda Elly"/>
        <s v="Rapat panitia HBH DPC.. &#10;- snack                           150 rb&#10;- semangka                     65 rb&#10;- salak                               25 rb&#10;- jeruk                               60 rb &#10;- tisu 2                              24 rb&#10;- kopi²            "/>
        <s v="4 Mei 2025&#10;&#10;Iyuran wajib                     200 rb&#10;Lampu bolham                105 rb&#10;Total                                  664 rb"/>
        <s v="besuk ust Anwar"/>
        <s v="Internet"/>
        <s v="apresiasi 2 grup UPA yg lolos proposal pemberdayaan dari pokir pa Hafid @ 350k "/>
        <s v="Sumbangan konsumsi HBH"/>
        <s v="Besuk pak Baron"/>
        <s v="IWB PM4106"/>
        <s v="Rapat persiapan BPH dpc panitia HBH&#10;- martabak manis 2    60 rb&#10;- martabak telor    2    70 rb&#10;- jus                              170 rb&#10;- makmal                     125 rb"/>
        <s v="Perbaikan Kursi Roda"/>
        <s v="ops Halbil"/>
        <s v="parcel buah besuk"/>
        <s v="Taawun ranap Verdian"/>
        <s v="Admin urus kunci apartemen"/>
        <s v="Reimburse DP resto pembubaran panitia halbil"/>
        <s v="Konsumsi meetup humas"/>
        <s v="Amplop apresiasi pembubaran panitia halbil"/>
        <s v="pembubaran panitia halbil"/>
        <s v="Nikahan anak Nurabadi"/>
        <s v="Rapat presentasi hasil survey&#10;BPH DPC - DPRa - kabid&#10;&#10;- Snack                           167 rb&#10;- Ongkir                             20 rb&#10;- Jus                               285 rb&#10;- Ongkir                            15 rb&#10;- Air mineral moboto     46 rb"/>
        <s v="Rapat BPH - tim enterpreneur &#10;- snack                           110 rb&#10;- anggur                            75 rb&#10;- pisang                            18 rb&#10;- jeru                                  47 rb &#10;- kopi²                               74 rb&#10;- maksi  "/>
        <s v="Rapat BPH DPC - BK&#10;- martabak T  2               70 rb&#10;- martabak M                  35 rb&#10;- kripik slondok               16 rb &#10;- keripik singkong             8 rb&#10;- anggur                            75 rb&#10;- salak                               13 rb&#10;- je"/>
        <s v="PBB DPC"/>
        <s v="Beli meja kafe"/>
        <s v="Indomaret&#10;- kamper                           55 rb&#10;&#10;&#10;Rapat DPC - DPRa&#10;- GO-JEK                          20 rb&#10;Pinjam LCD DPD&#10;&#10;Batu mic alkaline              36 rb&#10;Indomaret                           54 rb&#10;- Kamper toilet &#10;&#10;Lazada                          "/>
        <s v="Konsumsi pra raker"/>
        <s v="kopi sevel raker"/>
        <s v="token listrik"/>
        <s v="duplikat kunci"/>
        <s v="Ops pembagian BKKD&#10;Konsumsi&#10;7000× 35= 245.000&#10;Cetak yys= 12.000&#10;2 pack Amplop = 60.000&#10;Operasional =150.000&#10;&#10;Total 467.000"/>
        <s v="Rapat tim pa baron BK &amp; tim PKS muda&#10;&#10;- snack                          120 rb&#10;- buah² an                     160 rb&#10;- tisu                                 10 rb&#10;- air botol                         23 rb&#10;- kopi²                               25 rb&#10;&#10;Indomar"/>
        <s v="Bayar IWB"/>
        <s v="Rapat BK&#10;- snack                           120 rb&#10;- jeruk                               47 rb&#10;- nanggis                         35 rb&#10;- anggur                           75 rb&#10;- air botol                         21 rb&#10;( acc pa ilham  )"/>
        <s v="tunjangan ops dari DPD"/>
        <s v="- iyuran wajib                200 rb&#10;- internet DPC               278 rb"/>
        <s v="Rapat tim Panitia lomba skripsi &#10;&#10;- snack                           120 rb&#10;- buah² an                      154 rb&#10;- air mineral                     20 rb&#10;- kopi²                               45 rb&#10;- maksi                           150 rb&#10;( Acc pa ilham  "/>
        <s v="tunjangan ops 6 DPRa Mei 25"/>
        <s v="ops BMS"/>
        <s v="Rapat DPC&#10;martabak&#10;-  manis Dan telor       55 rb                    &#10;- buah² an                  150 rb&#10;&#10;&#10;Stok air botol   3            60 rb&#10;&#10;&#10;Total                              265 rb"/>
        <s v="Biaya Qurban Nurabadi"/>
        <s v="Kekurangan biaya Qurban Nurabadi"/>
        <s v="Kekurangan reimburse"/>
        <s v="Beli&#10;- mejikom Sharp           357 rb &#10;- kompor rinai               291 rb&#10;( CC pa ilham  ) "/>
        <s v="Rapat BPH DPC Dan Bidang-bidang&#10;- martabak telor            35 rb&#10;- martabak manis         30 rb&#10;- buah² an                     152 rb&#10;- soto daging  ( free ) &#10;- pecel ayam 4               80 rb&#10;- stok air 3                      69 rb"/>
        <s v="Reimbuse rapat 3 Jun"/>
        <s v="- parcesl buah               200 rb  &#10;( pa IBH ka DPD  )"/>
        <s v="Colokan + kombinasi       86 rb&#10;( rakit sendiri  )"/>
        <s v="Beli hape ops Siape Aje"/>
        <s v="Support rihlah KSN"/>
        <s v="Raker DPC - DPRa para seksi&#10;- snack                           320 rb&#10;- buah- buahan             310 rb&#10;- tisu 3                              26 rb  &#10;- tusuk sate                     15 rb&#10;- tomat                   .         10 rb&#10;- cabe                   "/>
        <s v="Stok air 10                        200 rb&#10;(  pa nasrul ) "/>
        <s v="Pinjaman Sekr Dejay utk Suhendi"/>
        <s v="talangan giat pelatihan khotib"/>
        <s v="beli 4 kursi"/>
        <s v="Biaya masak rakercab&#10;Bumbu+ perlengkapan 200.000&#10;Buras 30=300.000&#10;Ongkos masak 150.000&#10;Ongkir 30.000&#10;Total 680.000"/>
        <s v="beli air cleo 10"/>
        <s v="bea kopi rakercab"/>
        <s v="Rapat tim panitia lomba Sekripsi &#10;- snack                           120 rb&#10;- buah² an                      150 rb"/>
        <s v="Reses bang kholid&#10;Tambah jus                      170 rb&#10;( pa veridan  ) "/>
        <s v="beli pemanas air minum"/>
        <s v="23 - juni 2025&#10;Listrik                                     200 rb&#10;Santunan yatim (lingkungan) 100 rb&#10;&#10;Total                         300 rb"/>
        <s v="reimburse cleo Asep"/>
        <s v="Reimburse asep 21 Jun 2025"/>
        <s v="Ambulans anak pak Kamal"/>
        <s v="Sumbangan reses Bang Kholid"/>
        <s v="Konsumsi rapat sie kepanduan"/>
        <s v="IWB"/>
        <s v="ops Kesos"/>
        <s v="Taawun M Kamal n Ridwan Zul"/>
        <s v="Kafalah bulanan"/>
        <s v="Reimburse Asep 23 Jun 3 Jul"/>
        <s v="Iuran wajib perumahan"/>
        <s v="6 Juli 2025&#10;&#10;Rapat kabid &amp; BPH DPC&#10;Pempek         ( pa ilham  )&#10;+ timun &amp; mie                     17 k&#10;Jus                                     126 k&#10;Ongkir                                  17 k&#10;Tisu 3                                   20 k&#10;  &#10;Stok kopi   "/>
        <s v="Belanja indomaret            67 k&#10;- kamper toilet &#10;- pewangi ruangan&#10;- prostex toilet"/>
        <s v="Rapat SPKK - UPKK&#10;Konsumsi bu ika              300 k"/>
        <s v="7 juni 2025&#10;Rapat koordinasi &#10;Pematangan renovasi &#10;Dan operasional cafe&#10;- pa verdian&#10;- pa Faisal&#10;- pa agus&#10;- pa Gunawan&#10;- Asep &#10;Makai pecel ayam            150 k"/>
        <s v="Reimburse Asep 6-7 Jul 2025"/>
        <s v="Tunjangan ops DPC DPRa"/>
        <s v="Distribusi Tunjangan"/>
        <s v="Pelatihan video dan AI"/>
        <s v="Topup ops"/>
        <s v="Ops SPKK"/>
        <s v="Taawun Bu Zubaika"/>
        <s v="Bayar Internet"/>
        <s v="Tambah buffer Asep"/>
        <s v="Topup Asep"/>
        <s v="Support Majelis Pembinaan Anak"/>
        <s v="Tunjangan Ops"/>
        <s v="Beli Gas 3kg"/>
        <s v="Konsumsi"/>
        <s v="Tunjangan dari Bu Iin"/>
        <s v="Rapat bidang BPJE &amp; Ka DPC... &#10;Mie ayam bakso               102 k&#10;Kelapa muda                       72 k"/>
        <s v="Cicilan Hutang"/>
        <s v="Dana hibah"/>
        <s v="Pulsa listrik DPC               203 k"/>
        <s v="Onglos senam 27 Jul"/>
        <s v="Rapat bidang pertanian &amp; ka DPC &#10;Kelap bulat                           72 k&#10;Snack                                    45 k"/>
        <s v="Rekap penerimaan IWB 30Jun-26Jul"/>
        <s v="Setor IWB "/>
        <s v="Rapat gabungan persiapan &#10;Senam &amp; reses pa Hafid&#10;- snack                               80 k &#10;- buah² an                          97 k&#10;- tisu  2                               24 k&#10;- kelapa bulat                    84 k"/>
        <s v="Rapat warung siaPe aJE&#10;Snack                                  40 k&#10;Makan Malam                   105 k&#10;Stok tisu  2                          24 k"/>
        <s v="Agenda senam.. &#10;Pengamanan dan parkiran perumahan &#10;Security perumahan 2 orang dan security ruko 2 orang&#10;Masing-masing 50 k        200 k&#10;(  Acc pa ilham  ) "/>
        <s v="Tambahan makan siang padang 13 @18 k  234 k&#10;&#10;(  cc pa ilham  )"/>
        <s v="Reimburse Asep 19-27 Jul"/>
        <s v="Program Tani DPC"/>
        <s v="Studi banding prokim 750rb. lebih bayar"/>
        <s v="Uang duka laka Cimanggis"/>
        <s v="Listrik DPC                         203 k&#10;Stok air Cleo 10                200 k"/>
        <s v="Kafalah instruktur senam"/>
        <s v="Kafalah tim support senam"/>
        <s v="Rapat ka DPC - para pembimbing... &#10;Siomay &amp; es oyen            234 k"/>
        <s v="Teruskan titipan donasi Palestina ke ZS"/>
        <s v="Pengembalian lebih bayar Prokim"/>
        <s v="Ateker AC satu set             78 k&#10;Teknisi                                150 k "/>
        <s v="Iyuran wajib                       200 k"/>
        <s v="Internet DPC                     333 k"/>
        <s v="Transpor giat ke Bogor"/>
        <s v="Perbaikan arus listrik yang konslet &#10;&#10;Belanja NCB dll        315 k&#10;Jasa teknisi              150 k"/>
        <s v="Kafalah Asep"/>
        <s v="Reimburse Asep 29 Jul-3 Aug"/>
        <s v="Tunj Ops DPC DPRa Jul25"/>
        <s v="Tunj Ops DPRa Jul25"/>
        <s v="Reimburse SiapeAje Cafe"/>
        <s v="Tunj Ops Aleg"/>
        <s v="Tunj Ops DPC DPRa Aug25"/>
        <s v="Tunj Ops DPRa Aug25"/>
        <s v="Taawun orangtua Joko Sugiyarto"/>
        <s v="dana untuk modal bazaar CFD"/>
        <s v="Pinjaman pelunasan hutang Mustopa"/>
        <s v="- ambil kulkas ke cibubur &#10;BBM                             50 k&#10;- pulsa listrik          203 k&#10;- radar otomatis      80 k&#10;- jasa tukang         100 k&#10;- keran wastafel      60 k&#10;- siltif                           5 k"/>
        <s v="Santunan walimah anak Pak Mardi"/>
        <s v="Stok air Cleo 10                200 k&#10;Duplikat kunci 3                  45 k&#10;&#10;Pulsa Listrik                      200 k "/>
        <s v="Bea lomba review makanan warung"/>
        <s v="Topup kas SPKK"/>
        <s v="salah kirim reimburse ke Asep"/>
        <s v="pengembalian dari Asep"/>
        <s v="reimburse infra"/>
        <s v="Santunan sakit Yosep Duriat"/>
        <s v="perbaikan listrik&#10;Rincian pekerja &#10;1. Saklar seri Rp. 18.000&#10;2. Saklar triple Rp. 25.000&#10;3. Kamper Rp. 27.500&#10;4. Tenaga Rp. 150.000&#10;&#10;Total  Rp. 220.500"/>
        <s v="Beli 150 buku&#10;&#10;(6 bulan gak habis bisa dikembalikan)"/>
        <s v="Pengembalian talangan"/>
        <s v="Talangan giat studium generale"/>
        <s v="Rapat BPH DPC - Spje - tim warung &#10;Kelapa bulat 5                     75 k&#10;Snack                                  45 k&#10;Pecel lele                             95 k"/>
        <s v="ops pandu Sep25"/>
        <s v="Iyuran wajib                       200 k    &#10;Internet                              338 k"/>
        <s v="ops humas"/>
        <s v="talangan bedah buku"/>
        <s v="Honor Bulanan Asep"/>
        <s v="Pulsa listrik              203 k"/>
        <s v="Stok air Cleo  10      200 k"/>
        <s v="Splitter                         95 k"/>
        <s v="Rapat BPH DPC - BK&#10;Bu angga, pa hamdi, ust Adriana &#10;- jus nusantara      169 k&#10;- makmal                100 k&#10;- martabak                88 k&#10;- buah2 an              100 k"/>
        <s v="honor pengamanan kantor"/>
        <s v="Pengumuman pemenang  lomba UMKM (  humas  ) &#10;- batrai alkaline      83 k"/>
        <s v="reimburse pengeluaran Asep"/>
        <s v="santunan uang duka wafatnya Yosep Duriat"/>
        <s v="28 aug snack acara Pak Imam 350k, 23 Aug 157k, 3 Sep 70k, 4 Sep 216k"/>
        <s v="konsumsi giat SPJE 10 Sep"/>
        <s v="beli bahan bangunan kantor dpc"/>
        <s v="tunj ops Kesos"/>
        <s v="Rihlah Ilham n istri bersama SPKK"/>
        <s v="tunj Ops Humas"/>
        <s v="pengembalian bedah buku + profit"/>
        <s v="konsumsi rapat 16 Sep&#10;BPH 146rb&#10;Bid Tani 113rb"/>
        <s v="Perbaikan kantor"/>
        <s v="Ops DPC DPRa Sep 25"/>
        <s v="Ops DPRa Sep 25"/>
        <s v="Konsumsi rapat BPH"/>
        <s v="Ops Kesos Okt25"/>
        <s v="Taawun ust Khozin"/>
        <s v="Taawun ambulans Bu Hartati"/>
        <s v="Ops Humas Okt 25, 250k&#10;Bantu perpanjang Capcut, 350k"/>
        <s v="Taawun pengobatan anak Verdian"/>
        <s v="Sewa bus"/>
        <s v="Maksi giat SPJE 8 Okt"/>
        <s v="Perbaikan mesin air kantor"/>
        <s v="Perbaikan listrik kantor"/>
        <s v="Ops sie SPKK"/>
        <s v="Bayar PLN ganti meter"/>
        <s v="Bayar PLN Lagi"/>
        <s v="Total IWB belum di-approve"/>
        <s v="Tunj Ops dari DPD"/>
        <s v="Setor IWB Okt 25"/>
        <s v="Pengembalian dana Poktan"/>
        <s v="Tunj Ops ke DPRa"/>
        <s v="Laporan bulan Oktober 2025&#10;&#10;listrik DPC                        203 k&#10;Ayam penyet      &#10;( tukang  )                           18 k&#10;Ayam penyet dan kopi&#10;( p kosim PLN)                   23 k&#10;Teknisi PLN                         50 k&#10;( acc pa ilham) "/>
        <s v="Konsumsi giat kepanduan 26Okt"/>
        <s v="Laporan bulan Oktober 2025&#10;&#10;Rpat 2 kali &#10;BPH, poktan, yaysan&#10;Sekertariatan                    220 k&#10;"/>
        <s v="kirim lagi data Poktan"/>
        <s v="Tunjangan Aleg"/>
        <s v="25 okt 2025&#10;&#10;Rapat, BPH DPC, spje, kepemudaan, tamu pengusaha Turki &#10;&#10;Warung siape Aje    344.000"/>
        <s v="ongkos material gedung DPC"/>
        <s v="reimburse konsumsi"/>
        <s v="Pinjaman bea operasi Falih"/>
        <s v="ops sie Kesos Nov25"/>
        <s v="Taawun anak Ilham 350"/>
        <s v="Taawun Mahmudin"/>
        <s v="Kena titipan ITB dll PM3204"/>
        <s v="Konsumsi Raker"/>
        <s v="Utk Bu Ika, diskresi Ka Dpc"/>
        <s v="reimburse Konsumsi Raker 2Nov"/>
        <s v="Lalamov hampres            130 k&#10;( ZS ke DPC  ) "/>
        <s v="Pinjaman Pak Sadullah"/>
        <s v="perbaikan gedung dpc"/>
        <s v="Ops Humas Nov25"/>
        <s v="Rapat &#10;Bidang : BPH DPC, pa Baron &amp; pa husnajat &#10;Warung siape aje             113 k&#10;&#10;Rapat&#10;Bidang : kesekertariatan &#10;Makan, pecel lele               60 k&#10;"/>
        <s v="Pengembalian Pinjaman Sadullah"/>
        <s v="Listrik DPC"/>
        <s v="bea tim sekuriti giat Madya"/>
        <s v="Rapat BPH dan ketua RT 04/19&#10;&#10;- nasi goreng 4            60 k&#10;- susu jahe                   32 k&#10;- snack                          45 k&#10;&#10;Bekel pa rt  ( di bawa ke rumah  ) &#10;- Beras                         72  k &#10;- indomie                      18 k&#10;( arahan"/>
        <s v="Rapat pa ilham dan tamu &#10;Warung siape aje           84 k"/>
        <s v="Kirim balik titipan ITB dll PM3204"/>
        <s v="Total penerimaan IWB 20Okt-20Nov"/>
        <s v="Setor IWB 20Okt-20Nov"/>
        <s v="Pulsa listrik dpc"/>
        <s v="Rapat BPH - tim koprasi DPD &#10;- warung siape aje        118 k&#10;- rebusan                          20 k&#10;- semangka                      30 k&#10;- pisang                             20 k&#10;- salak                               15 k"/>
        <s v="Beri pinjaman ke Verdian"/>
        <s v="Terima Tunj Ops dari DPD"/>
        <s v="Trf Tunj Ops ke 6 DPRa"/>
        <s v="Rpat BPH DPC, pada pengurus DPC &#10;&#10;Warung siape aje      215 k"/>
        <s v="duplikat kunci Faisal"/>
        <s v="Kapur ajaib"/>
        <s v="Rapat tim Spje, p ilham&#10;Warung siape aje     86 k"/>
        <s v="Ops Kepanduan Nov 25"/>
        <s v="Ops SPKK Nov 25"/>
        <s v="Talangan kegiatan"/>
        <s v="Ops Kesos Des25"/>
        <s v="Iyuran wajib  des     200 k&#10;Internet dpc              338 k"/>
        <s v="Pa ilham &#10;Warung siape aje      37 k"/>
        <s v="Bayarkan ITB PM3206 Jun, Agus"/>
        <s v="Bayarkan ITB PM3206 Mei"/>
        <s v="Transport ke rumah Tony"/>
        <s v="Kafalah"/>
        <s v="Konsumsi panitia parenting"/>
        <s v="Ops Humas Des25"/>
        <s v="Total penerimaan IWB 20Nov-20Dec"/>
        <s v="Setor IWB 20Nov-20Dec"/>
        <s v="konsumsi penerimaan SK PIP"/>
        <s v="Lalamov air bisto            129 k"/>
        <s v="Lalamov karpet                100 k&#10;Loundry  karpet                500 k"/>
        <s v="Rapat BPH DPC + pembimbing utama &#10;&#10;Nasi box padang              220 k&#10;Jus                                      183 k&#10;Warung siape aje             173 k"/>
        <s v="Refund salah kirim PM3206"/>
        <s v="25 des 2025&#10;&#10;Rapat koordinasi &#10;pa ilham, pa pulung , tamu&#10;&#10;Kopi sevel  3               21 k&#10;Singkong                     10 k&#10;Piscok                          10 k&#10;Pecel lele                    70 k&#10;&#10;Stok tisu 2                  24 k &#10;&#10;Total               "/>
        <s v="Ke Faisal Hakim"/>
        <s v="Bea giat olga"/>
        <s v="Koreksi Salkir PM3206"/>
        <s v="- iyuran wajib     200 k&#10;- internet DPC    338 k"/>
        <s v="reimburse Iuran"/>
        <s v="Bidang : BPH DPC + BKAP &#10;- siomay bandung  85 k&#10;- mie ayam               24 k&#10;- martabak               63 k"/>
        <s v="Rapat &#10;Bidang  : BKAP &#10;- snack                    100 k&#10;- kopi                         60 k"/>
        <s v="Rapat &#10;Bidang : BPH DPC + ka seksi ka dpra&#10;- snack                   200 k&#10;- jeruk  3 kg              90 k &#10;- salak 3 kg              45 k&#10;- kopi sevel            150 k (reimburse prbd)"/>
        <s v="Rapat &#10;Bidang : BPH DPC + ka seksi ka dpra&#10;Poto copy &#10;- 8 program              44 k"/>
        <s v="Rapat BPH DPC - DPRa para seksi BPPN DPD&#10;&#10;- snack  30 @10    300 k&#10;- kopi                         26 k&#10;- tisu 2                       24 k&#10;&#10;Total                           350 k"/>
        <s v="Konsumsi temu DPC pembina"/>
        <s v="Reimburse konsumsi 16 Jan"/>
        <s v="Pengamanan temu DPC pembina 18 Jan"/>
        <s v="Sumbangan Rakercab"/>
        <s v="Topup ActionPay Momon"/>
        <s v="Bayar ITB PM3210 ??x??org"/>
        <s v="Bayar ITB PM3206 2x8org"/>
        <s v="Topup Reza"/>
        <s v="Giat persiapan masuk kuliah"/>
        <s v="Cicilan Hutang Suhendi"/>
        <s v="Rapat panitia rakercab &#10;- sncak                           130 k&#10;- indomie telor              140 k&#10;&#10;Belanja indomaret            90 k&#10;Tisu dan kamper toilet &#10;&#10;Air biru 2 galon                  18 k"/>
        <s v="Reimburse Rapat Rakercab"/>
        <s v="Panitia rakercab"/>
        <s v="Pengembalian pinjaman Verdian"/>
        <s v="Pengeluaran Rutin DPC"/>
        <s v="Kafalah Feb26"/>
        <s v="Donasi rakercab"/>
        <s v="Tambahan giat Rakercab"/>
        <s v="Bayar ITB PM3209 5 orang x 3 bulan"/>
        <s v="Support kegiatan DPRa Mampang"/>
        <s v="Konsumsi buah rakercab"/>
        <s v="Tambahan konsumsi rakercab"/>
        <s v="Pinjaman ust Muhsin Soleh"/>
        <s v="Reimburse tambahan Rakercab"/>
        <s v="Tunj Ops utk DPRA"/>
        <s v="Salah kirim BMS"/>
        <s v="Konsumsi rapat Coffee E&amp;S"/>
        <s v="Koreksi Salkir Efa Afifa"/>
        <s v="Transport komdigi ke DPD"/>
        <s v="Kafalah Mar26"/>
        <s v="Perbaikan listrik ( konslet) ganti NCB &#10;Teknisi dan ncb"/>
        <s v="Internet DPC"/>
        <s v="Takjil on the Road DPRa Depok"/>
        <s v="Lalamov paket aromil"/>
        <s v="Kekurangan kopi             390 k&#10;  ( bu ika minta ke dpc  )"/>
        <s v="Iyuran wajib (ada kenaikan 50k)"/>
        <s v="Giat ramadhan Panjaru"/>
        <s v="dukungan Musabaqah Hifzhil Quran"/>
        <s v="THR Security 3 orang"/>
        <s v="Pengambilan paket sembako Bang Kholid dari dpd &#10;- lalamov                        100 k&#10;- tenaga 3                       300 k"/>
        <s v="Pengambilan paket sembako Bang Kholid dari dpd &#10;- lalamov                        150 k&#10;- tenaga 3                       300 k"/>
        <s v="pengembalian salkir BMS Nila"/>
        <s v="salah teruskan BMS Nila"/>
        <s v="Bea canvassing 6 DPRa"/>
        <s v="Pinjam uang Reza karena buru2"/>
        <s v="pengembalian lebih bayar PM3213"/>
        <s v="Pengeluaran ops panziswaf"/>
        <s v="refund salah kirim BMS Nila"/>
        <s v="Apresiasi keaktifan bbrp pengurus"/>
        <s v="Pengembalian bea canvassing"/>
        <s v="Pengembalian Pinjaman dari Reza"/>
        <s v="Reimburse Asep ops"/>
        <s v="Salkir BMS Bu Dini PM3216"/>
        <s v="Penerimaan IWB"/>
        <s v="Tunj Ops BPH"/>
        <s v="Teruskan BMS Bu Dini PM3216"/>
        <s v="Reza pinjam "/>
        <s v="- iyuran wajib                 250 k"/>
        <s v="- PBB                               366 k"/>
        <s v="Reimburse Pengeluaran Rutin"/>
        <s v="Konsumsi rapat kabid DPC"/>
        <s v="Kembali pinjaman bea operasi Falih"/>
        <s v="Konsumsi BPH"/>
        <s v="reimburse konsumsi dan listrik"/>
        <s v="infaq"/>
        <s v="Konsumsi Halbil"/>
        <s v="*Laporan pengeluaran*&#10;&#10;*12 april 2026*&#10;HBH DPC - DPRa - pembimbing&#10;&#10; &#10;- nasbox     ( pak h ali ) &#10;- pisang                          150 k&#10;- salak                             100 k&#10;- jeruk santang              250 k&#10;&#10;Tisu        3                          "/>
        <s v="listrik"/>
        <s v="kamper toilet pewangi"/>
        <s v="kafalah pandu"/>
        <s v="Apresiasi untuk grup dan pembina berprestasi"/>
        <s v="Pdaftaran pelatihan Hilmi Zuhdi"/>
        <s v="Reimburse halbil"/>
        <s v="Rapat BPH - tim pa Amri &#10;- martabak                   63 k&#10;- buah² an                  135 k&#10;- makan malam          85 k"/>
        <s v="Rapat &#10;Bidang : BKAP &amp; kepemudaan &#10;- jus                          84 k&#10;- siomay                105 k &#10;- air Cleo botol        20 k"/>
        <s v="Rapat &#10;Bidang : BKAP + P2 UPA&#10;Snack  :                 180 k&#10;Air Cleo botol         20 k&#10;Pisan                       45 k"/>
        <s v="Reimburse Konsumsi Rapat 15-19 Apr"/>
        <s v="Tunj Ops DPD"/>
        <s v="Tunj Ops DPRa"/>
        <s v="Rekap IWB"/>
        <s v="Tunj ops Ka DPC"/>
        <s v="Tunj ops Sekr DPC"/>
        <s v="Tunj ops Bend DPC"/>
        <s v="Taawun anak Verdian"/>
        <s v="Talangan kegiatan sekolah digital"/>
        <s v="Rekap Infaq"/>
        <s v="Rekap bank"/>
        <s v="Reza kembalikan pinjaman"/>
        <s v="Kembalikan pinjaman ke Reza"/>
        <s v="Tambahan talangan Sekolah digital"/>
        <s v="PLN"/>
        <s v="Rapat BPH DPC&#10;Jus                            104 k&#10;Siomay                     112 k&#10;Air mineral botol       20 k"/>
        <s v="Reimburse Listrik + rapat 26 apr"/>
        <s v="Transpor untuk pemikat hati"/>
        <s v="Beli langganan Zoom"/>
        <s v="Terima Trf Sekolah Digital"/>
        <s v="Penuntasan Sekolah Digital"/>
        <s v="Talent Mapping"/>
        <s v="Tunj ops bulanan"/>
        <s v="Bea panitia qurban"/>
        <s v="Reward konten qurban"/>
        <s v="Reimburse Asep Mei"/>
        <s v="Transport besuk anak Efa Komdigi"/>
        <s v="Uang Duka Sri Utari"/>
        <s v="Bea prakembara"/>
        <s v="Stok air Cleo                       60 k"/>
        <s v="Rapat BKBN&#10;- snack &amp; kopi                 70 k"/>
        <s v="Rapat tim kepanduan&#10;&#10;Ayam pecel lele               315 k&#10;Kopi seduh                         40 k "/>
        <s v="Rapat pa ketua dengan tamu &#10;Siomay                                79 k&#10;Jus                                       78 k"/>
        <s v="Rapat BPH             &#10;Jus                                     144 k&#10;Siomay                              158 k"/>
        <s v="Stok air Cleo                      42 k&#10;Tisu 2                                  22 k"/>
        <s v="Tambahan konsusmi rapat gabungan dengan tim komdigi&#10;  &#10;Jus 10  @12                      : 120 k   &#10;Bu juarti pecel ayam  :       : 23 k&#10;&#10;Warung dpc &#10;Indomie 8 @12                   : 96 k&#10;Kentang 16 @ 2, 500        :  40 k    &#10;Comro 16 @2, 500            "/>
        <s v="Rapat BPH - DPRa - gabungan &#10;&#10;Snack                       225 k&#10;Kopi seduh 10 @5   50 k&#10;Indomie  5 @12        50 k&#10;Air Cleo  2                  40 k&#10;&#10;Total                         365 k"/>
        <s v="Tambahan Nasi Padang"/>
        <s v="Kegiatan Bipeka"/>
        <s v="Reimburse "/>
        <s v="Ops BPH"/>
        <s v="Infaq DPC"/>
        <s v="Public Speaking"/>
        <s v="Ngamprah Mampang"/>
        <s v="Beli pulsa hape"/>
        <s v="Kafalah Jul26"/>
        <s v="Rapat Komdigi&#10;&#10;Air botol                              39 k &#10;pembicara&#10;- nasbox                           23 k&#10;Panitia &#10;Es milo 3                            21 k&#10;Es teh tarik 3                     21 k&#10;Indomie rebus 6               72 k&#10;Roti bakar  3      "/>
        <s v="Rapat BPH&#10;&#10;Semangka                          53 k&#10;Salak                                    25 k&#10;Pisang                                 35 k&#10;Di warung&#10;- indomie goreng 4         48 k&#10;- indomie rebus 1           12 k&#10;- roti bakar  2                   20 k&#10;-"/>
        <s v="Rapat , bimbel ( pa hamdi ) &#10;Snack plus air 25 @12   300 k"/>
        <s v="Iuran wajib ruko"/>
        <s v="Hape Komdigi"/>
        <s v="Donasi Harganas"/>
        <s v="Unknown"/>
        <s v="Giat Harganas"/>
        <s v="Rapat &#10;Bidang : BKAP ( ust agung  ) &#10;Snack                           99 k&#10;Siomay                      240 k&#10;Tisu                              12 k&#10;Air mineral                  17 k&#10;Kopi tuku  ( bayar sendiri  )"/>
        <s v="bensin giat bipeka"/>
        <s v="urban farming"/>
        <s v="Stok Air Cleo"/>
        <s v="Rapat pak ketua, tamu &#10;- siomay               60 k&#10;- jus                       36 k"/>
        <s v="- iyurian wajib    250 k&#10;- internet DPC   335 k"/>
        <s v="Rapat gabungan&#10;Buah² an               185 k&#10;- jeruk &#10;- salak&#10;- pisang &#10;- anggur &#10;- semangaka&#10;air Cleo   2              44  k&#10;Tisu                          11 k"/>
        <s v="Rapat BPH DPC - LPK mina kazoku&#10;- martabak manis &amp; telor     58 k&#10;- aneka jus                              84 k&#10;- air celo                                  22 k"/>
        <s v="Rapat BPH DPC - para seksi&#10;- siomay                                216 k&#10;- jus                                        136 k&#10;- tisu                                         12 k&#10;- air Cleo                                  22 k"/>
        <s v="Kegiatan 25 Ag"/>
        <s v="Pilox buat Cat"/>
        <s v="Rapat BPH DPC - para seksi &#10;- snack                     150 k&#10;- jus                           176 k&#10;- maksi                     222 k&#10;- air Cleo                     20 k&#10;- tisu                            10 k"/>
        <s v="- batrai                        45 k&#10;Mic &amp; remot Ac"/>
        <s v="Kosongkan Rek Donasi"/>
        <s v="Rapat &#10;Bidang : komdigi ( pelatihan ditital IA BPH dan pengurus seksi, komdigi DPRa  ) &#10;- snack box 25 @15 k   375 k&#10;- air mineral                      20 k"/>
        <s v="Rapat &#10;Bidang : Kesos ( bu juarti para panita,dokter ) &#10;- Sncak                             45 k&#10;- jus                                   54 k&#10;- tisu                                 12 k&#10;- air mineral                     20 k&#10;- mie ayam bakso          75 k"/>
        <s v="Listrik DPC                       103 k"/>
        <s v="Iyuran wajib ruko            250 k"/>
        <s v="Internet DPC                    335 k"/>
        <s v="pelatihan AI dan lomba video"/>
        <s v="Tunj Ops"/>
        <s v="Olahraga"/>
        <s v="Ops DPRa Sep26"/>
        <s v="Rekap Setor IWB"/>
        <s v="Total NTT"/>
        <s v="Setor NTT"/>
        <s v="Topup Rekening Reza"/>
        <s v="Talangan pra latansa"/>
      </sharedItems>
    </cacheField>
    <cacheField name="Grup" numFmtId="0">
      <sharedItems containsBlank="1">
        <m/>
        <s v="Winarto"/>
        <s v="DPD"/>
        <s v="DPRa"/>
        <s v="PM3252"/>
        <s v="PM3262"/>
        <s v="Hendra H"/>
        <s v="ZS"/>
        <s v="Reza"/>
        <s v="Asep"/>
        <s v="PM4103?"/>
        <s v="Muhsinin Fauzi"/>
        <s v="Verdian"/>
        <s v="PM3221"/>
        <s v="PM3203"/>
        <s v="PM3213"/>
        <s v="PM3261"/>
        <s v="PM3235"/>
        <s v="PM3212"/>
        <s v="Yayasan Teras Quran"/>
        <s v="Nurul Ikhwat"/>
        <s v="Ilham"/>
        <s v="PARA UPA"/>
        <s v="Asep Irawan"/>
        <s v="Tita Fatimah"/>
        <s v="Efa Bagus"/>
        <s v="Kartikasari"/>
        <s v="matsui"/>
        <s v="Imam Musanto"/>
        <s v="Khairul Umam"/>
        <s v="Katrina"/>
        <s v="Kaderisasi"/>
        <s v="Efaningsih"/>
        <s v="Sadullah"/>
        <s v="Kubub"/>
        <s v="PM3241"/>
        <s v="PM4107"/>
        <s v="Anis Anisya 3251"/>
        <s v="??"/>
        <s v="Munawir Sajali"/>
        <s v="Daeng Akbar"/>
        <s v="Ihda Husnayain"/>
        <s v="Bang Kholid"/>
        <s v="Elly Farida"/>
        <s v="Zubaika"/>
        <s v="Tita Fatimah, Sri Wulan Wibiyanti "/>
        <s v="DPRa Depok"/>
        <s v="DPRa Mampang"/>
        <s v="DPRa Panja"/>
        <s v="DPRa Dejay"/>
        <s v="DPRa Panmas"/>
        <s v="Baron Noorwendo"/>
        <s v="DPRa Panjaru"/>
        <s v="PM4106"/>
        <s v="Bu Eka"/>
        <s v="Nur Abadi"/>
        <s v="Faisal Hakim"/>
        <s v="Ning Zuraidah"/>
        <s v="Suhendi"/>
        <s v="Ibnu Nugroho"/>
        <s v="Agus"/>
        <s v="Jito"/>
        <s v="Nur Ikhwanto"/>
        <s v="Ijal"/>
        <s v="Nurjanah"/>
        <s v="Krisna"/>
        <s v="Mayasari"/>
        <s v="Faisal"/>
        <s v="Diana L"/>
        <s v="Hafid Nasir"/>
        <s v="Kantor"/>
        <s v="SiapeAje"/>
        <s v="Bu Iin"/>
        <s v="SPJE"/>
        <s v="Elda"/>
        <s v="Bid Tani"/>
        <s v="Reses"/>
        <s v="Suroto/Lusiana"/>
        <s v="Adhi Prayogi"/>
        <s v="DPC"/>
        <s v="Dini Kurnianing"/>
        <s v="Mardi"/>
        <s v="Chairunnisa (Istri Yosep)"/>
        <s v="Itishom"/>
        <s v="Mustopa"/>
        <s v="Diana"/>
        <s v="Efa"/>
        <s v="Khairul Rakhman"/>
        <s v="BK"/>
        <s v="Humas"/>
        <s v="Faisal H"/>
        <s v="Asep Tahyudin"/>
        <s v="Nasrul"/>
        <s v="Suroto"/>
        <s v="Mahmudin"/>
        <s v="Rantini"/>
        <s v="Agung H"/>
        <s v="Yusrizal"/>
        <s v="PM4206"/>
        <s v="ActionPay"/>
        <s v="External"/>
        <s v="BPH DPC+BKAP"/>
        <s v="BKAP"/>
        <s v="BPH DPC"/>
        <s v="Agung n Mustopa"/>
        <s v="Momon"/>
        <s v="Diana Lestari"/>
        <s v="Partilah"/>
        <s v="Muhsin Soleh"/>
        <s v="Grup UPA"/>
        <s v="Efa Afifa"/>
        <s v="Siti Nuroniah"/>
        <s v="Khairul R"/>
        <s v="Rahma W"/>
        <s v="Mitra"/>
        <s v="Ilham, Ika"/>
        <s v="Dini PM3216"/>
        <s v="Ilham, Verdian, Reza"/>
        <s v="Ali Rasyid"/>
        <s v="pandu"/>
        <s v="PM4201, PM4206, PM3218, Anwar N"/>
        <s v="Hilmi Zuhdi"/>
        <s v="Komdigi"/>
        <s v="Infaq"/>
        <s v="Bank"/>
        <s v="PLN"/>
        <s v="BPH"/>
        <s v="Nurabadi"/>
        <s v="Juarti"/>
        <s v="Stok"/>
        <s v="BKBN"/>
        <s v="Kepanduan"/>
        <s v="Kartika Sari"/>
        <s v="BPH inti"/>
        <s v="Lelatul H"/>
        <s v="Bendahara"/>
        <s v="PAA"/>
        <s v="Iyos Rosita"/>
        <s v="Salma Arifah"/>
        <s v="Albizar Garibaldi"/>
        <s v="Bipeka"/>
        <s v="tani"/>
        <s v="Ketua"/>
        <s v="Kesos"/>
        <s v="Para DPRa"/>
      </sharedItems>
    </cacheField>
    <cacheField name="Jenis" numFmtId="165">
      <sharedItems containsBlank="1">
        <s v="Saldo"/>
        <s v="Kegiatan"/>
        <s v="Rekonsil"/>
        <s v="Tunj Ops"/>
        <m/>
        <s v="Konsumsi"/>
        <s v="BMS"/>
        <s v="ITB"/>
        <s v="Taawun"/>
        <s v="IWB"/>
        <s v="Pinjaman"/>
        <s v="Lebih bayar"/>
        <s v="Infra"/>
        <s v="Kafalah"/>
        <s v="tunai"/>
        <s v="Tunjangan Ramadhan"/>
        <s v="Pinjam"/>
        <s v="UNKNOWN"/>
        <s v="Salkir"/>
        <s v="ops"/>
        <s v="Reimburse"/>
        <s v="Yayasan"/>
        <s v="Halbil"/>
        <s v="Tunj Aleg"/>
        <s v="Rutin"/>
        <s v="Bulanan"/>
        <s v="Apartemen"/>
        <s v="Tahunan"/>
        <s v="hadiah"/>
        <s v="talangan Mustopa"/>
        <s v="talangan giat humas"/>
        <s v="bedah buku"/>
        <s v="talangan studium generale"/>
        <s v="lain-lain"/>
        <s v="topup"/>
        <s v="iwb-belum-approve"/>
        <s v="salurkan ITB"/>
        <s v="IWB Setor"/>
        <s v="actionpay"/>
        <s v="Rakercab"/>
        <s v="Transport"/>
        <s v="refund"/>
        <s v="Apresiasi"/>
        <s v="Infaq"/>
        <s v="Pelatihan"/>
        <s v="Tunj Ops BPH"/>
        <s v="Pinjaman Sekolah Digital"/>
        <s v="Bank"/>
        <s v="Pulsa"/>
        <s v="giat"/>
        <s v="donasi"/>
        <s v="admin"/>
      </sharedItems>
    </cacheField>
    <cacheField name="Total Accounts" numFmtId="0">
      <sharedItems containsString="0" containsBlank="1" containsNumber="1">
        <m/>
        <n v="-800000.0"/>
        <n v="0.0"/>
        <n v="1.0E7"/>
        <n v="-6002306.0"/>
        <n v="410000.0"/>
        <n v="120000.0"/>
        <n v="-232000.0"/>
        <n v="300000.0"/>
        <n v="700000.0"/>
        <n v="-35000.0"/>
        <n v="-100000.0"/>
        <n v="-120000.0"/>
        <n v="-300000.0"/>
        <n v="-350000.0"/>
        <n v="-413000.0"/>
        <n v="-214000.0"/>
        <n v="-501203.0"/>
        <n v="150000.0"/>
        <n v="-7000000.0"/>
        <n v="-205000.0"/>
        <n v="-1000.0"/>
        <n v="-400000.0"/>
        <n v="840000.0"/>
        <n v="-219000.0"/>
        <n v="761300.0"/>
        <n v="-421200.0"/>
        <n v="-9952300.0"/>
        <n v="-3166300.0"/>
        <n v="-1161000.0"/>
        <n v="-250000.0"/>
        <n v="600000.0"/>
        <n v="3500000.0"/>
        <n v="50000.0"/>
        <n v="-100325.0"/>
        <n v="-5157500.0"/>
        <n v="7192600.0"/>
        <n v="-6259729.0"/>
        <n v="-1500000.0"/>
        <n v="-2000360.0"/>
        <n v="-215205.0"/>
        <n v="-416201.0"/>
        <n v="5700000.0"/>
        <n v="5000000.0"/>
        <n v="-3000339.0"/>
        <n v="-9000302.0"/>
        <n v="-7400000.0"/>
        <n v="2000000.0"/>
        <n v="-2300000.0"/>
        <n v="-675000.0"/>
        <n v="2300000.0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200000.0"/>
        <n v="-1711550.0"/>
        <n v="1.1716688E7"/>
        <n v="-5336798.0"/>
        <n v="-1260000.0"/>
        <n v="-200238.0"/>
        <n v="-200000.0"/>
        <n v="-301000.0"/>
        <n v="-2500314.0"/>
        <n v="-1258000.0"/>
        <n v="-202500.0"/>
        <n v="-392000.0"/>
        <n v="-446000.0"/>
        <n v="-3500000.0"/>
        <n v="-261000.0"/>
        <n v="-207000.0"/>
        <n v="-1410000.0"/>
        <n v="-351000.0"/>
        <n v="-500219.0"/>
        <n v="-600203.0"/>
        <n v="-3000307.0"/>
        <n v="-230200.0"/>
        <n v="-5000000.0"/>
        <n v="-810000.0"/>
        <n v="1.1615688E7"/>
        <n v="-4938525.0"/>
        <n v="1000000.0"/>
        <n v="500000.0"/>
        <n v="-359000.0"/>
        <n v="-305000.0"/>
        <n v="-750000.0"/>
        <n v="-277500.0"/>
        <n v="-700213.0"/>
        <n v="2500000.0"/>
        <n v="-500203.0"/>
        <n v="-425000.0"/>
        <n v="-247200.0"/>
        <n v="-700000.0"/>
        <n v="-152500.0"/>
        <n v="-300216.0"/>
        <n v="-1502500.0"/>
        <n v="-533000.0"/>
        <n v="-528000.0"/>
        <n v="-377000.0"/>
        <n v="-365000.0"/>
        <n v="-757000.0"/>
        <n v="-205202.0"/>
        <n v="-203000.0"/>
        <n v="-467000.0"/>
        <n v="-363000.0"/>
        <n v="9799725.0"/>
        <n v="-5363798.0"/>
        <n v="-298000.0"/>
        <n v="-478000.0"/>
        <n v="-489000.0"/>
        <n v="-3000344.0"/>
        <n v="-265000.0"/>
        <n v="-100317.0"/>
        <n v="-282500.0"/>
        <n v="-797000.0"/>
        <n v="-648000.0"/>
        <n v="-366000.0"/>
        <n v="-86000.0"/>
        <n v="-766000.0"/>
        <n v="-2000315.0"/>
        <n v="-1946500.0"/>
        <n v="-680000.0"/>
        <n v="-516000.0"/>
        <n v="-270000.0"/>
        <n v="-170000.0"/>
        <n v="-500319.0"/>
        <n v="550000.0"/>
        <n v="-300313.0"/>
        <n v="5542100.0"/>
        <n v="-2575410.0"/>
        <n v="-480000.0"/>
        <n v="-67000.0"/>
        <n v="-150000.0"/>
        <n v="-3000312.0"/>
        <n v="-2500304.0"/>
        <n v="-500000.0"/>
        <n v="-650000.0"/>
        <n v="-23000.0"/>
        <n v="-472300.0"/>
        <n v="3000000.0"/>
        <n v="-3000313.0"/>
        <n v="-174000.0"/>
        <n v="-800314.0"/>
        <n v="-117000.0"/>
        <n v="1.0108538E7"/>
        <n v="-5060340.0"/>
        <n v="-285000.0"/>
        <n v="-169000.0"/>
        <n v="-234000.0"/>
        <n v="-2500000.0"/>
        <n v="-403000.0"/>
        <n v="-300344.0"/>
        <n v="-200320.0"/>
        <n v="750000.0"/>
        <n v="-228000.0"/>
        <n v="-333000.0"/>
        <n v="-465000.0"/>
        <n v="-3000318.0"/>
        <n v="-373000.0"/>
        <n v="-3000322.0"/>
        <n v="-600000.0"/>
        <n v="-3000000.0"/>
        <n v="-498000.0"/>
        <n v="-500303.0"/>
        <n v="-445000.0"/>
        <n v="-6000301.0"/>
        <n v="7861975.0"/>
        <n v="-3466710.0"/>
        <n v="-220500.0"/>
        <n v="-4020300.0"/>
        <n v="-215000.0"/>
        <n v="-250300.0"/>
        <n v="-538000.0"/>
        <n v="-305301.0"/>
        <n v="-95000.0"/>
        <n v="-457000.0"/>
        <n v="-1160300.0"/>
        <n v="-83000.0"/>
        <n v="-793000.0"/>
        <n v="-315000.0"/>
        <n v="-500301.0"/>
        <n v="-250304.0"/>
        <n v="1.9E7"/>
        <n v="-259000.0"/>
        <n v="-8000300.0"/>
        <n v="-3000311.0"/>
        <n v="-227000.0"/>
        <n v="1.42849E7"/>
        <n v="-5498145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5575025.0"/>
        <n v="880000.0"/>
        <n v="-2293065.0"/>
        <n v="-3000304.0"/>
        <n v="-294000.0"/>
        <n v="-220000.0"/>
        <n v="-2500307.0"/>
        <n v="-344000.0"/>
        <n v="-1019000.0"/>
        <n v="-5000304.0"/>
        <n v="-500202.0"/>
        <n v="2695000.0"/>
        <n v="-317000.0"/>
        <n v="-500336.0"/>
        <n v="-130000.0"/>
        <n v="-4000316.0"/>
        <n v="-173000.0"/>
        <n v="4000000.0"/>
        <n v="-103000.0"/>
        <n v="-84000.0"/>
        <n v="-2695000.0"/>
        <n v="9417650.0"/>
        <n v="-6913890.0"/>
        <n v="-3000310.0"/>
        <n v="-60000.0"/>
        <n v="-25000.0"/>
        <n v="-5000300.0"/>
        <n v="-50000.0"/>
        <n v="-37000.0"/>
        <n v="-200377.0"/>
        <n v="-250377.0"/>
        <n v="1.1463275E7"/>
        <n v="-6512715.0"/>
        <n v="-129000.0"/>
        <n v="-576000.0"/>
        <n v="-135000.0"/>
        <n v="-250369.0"/>
        <n v="-172000.0"/>
        <n v="-160000.0"/>
        <n v="-335000.0"/>
        <n v="-44000.0"/>
        <n v="-1150000.0"/>
        <n v="-200204.0"/>
        <n v="1.9707625E7"/>
        <n v="-1.0212075E7"/>
        <n v="-2000.0"/>
        <n v="1200000.0"/>
        <n v="-378000.0"/>
        <n v="-6700326.0"/>
        <n v="800000.0"/>
        <n v="-604000.0"/>
        <n v="350000.0"/>
        <n v="-850329.0"/>
        <n v="-500327.0"/>
        <n v="-500333.0"/>
        <n v="-350331.0"/>
        <n v="-1000345.0"/>
        <n v="-300333.0"/>
        <n v="-3004326.0"/>
        <n v="9705000.0"/>
        <n v="-4608000.0"/>
        <n v="185000.0"/>
        <n v="-200326.0"/>
        <n v="-87000.0"/>
        <n v="-390000.0"/>
        <n v="-1000352.0"/>
        <n v="-450000.0"/>
        <n v="-3000331.0"/>
        <n v="-3500332.0"/>
        <n v="-13125.0"/>
        <n v="-1287000.0"/>
        <n v="400000.0"/>
        <n v="1.7466625E7"/>
        <n v="-7629975.0"/>
        <n v="-900337.0"/>
        <n v="-152000.0"/>
        <n v="-338550.0"/>
        <n v="-488000.0"/>
        <n v="-94000.0"/>
        <n v="45000.0"/>
        <n v="-2000330.0"/>
        <n v="-725000.0"/>
        <n v="-49000.0"/>
        <n v="-75000.0"/>
        <n v="-4250326.0"/>
        <n v="-99326.0"/>
        <n v="-283000.0"/>
        <n v="-209000.0"/>
        <n v="-245000.0"/>
        <n v="-3000327.0"/>
        <n v="1.0100675E7"/>
        <n v="-4698225.0"/>
        <n v="-300341.0"/>
        <n v="-1400326.0"/>
        <n v="370000.0"/>
        <n v="-18517.75"/>
        <n v="-601328.0"/>
        <n v="-236000.0"/>
        <n v="-151500.0"/>
        <n v="-2000343.0"/>
        <n v="9979000.0"/>
        <n v="-4853025.0"/>
        <n v="-900203.0"/>
        <n v="-3005326.0"/>
        <n v="-1630325.0"/>
        <n v="-100336.0"/>
        <n v="-501327.0"/>
        <n v="-70000.0"/>
        <n v="-355000.0"/>
        <n v="-157000.0"/>
        <n v="-302000.0"/>
        <n v="-64000.0"/>
        <n v="-384000.0"/>
        <n v="-2700000.0"/>
        <n v="1.29442E7"/>
        <n v="-6472925.0"/>
        <n v="-159700.0"/>
        <n v="-900000.0"/>
        <n v="-51500.0"/>
        <n v="-206000.0"/>
        <n v="-213000.0"/>
        <n v="-338000.0"/>
        <n v="-1.05E7"/>
        <n v="-368000.0"/>
        <n v="9301400.0"/>
        <n v="-4011840.0"/>
        <n v="-3000329.0"/>
        <n v="-96000.0"/>
        <n v="-585000.0"/>
        <n v="-240000.0"/>
        <n v="-164000.0"/>
        <n v="-386000.0"/>
        <n v="-103500.0"/>
        <n v="-3003326.0"/>
        <n v="1.09754E7"/>
        <n v="-4899240.0"/>
        <n v="-111000.0"/>
        <n v="-578000.0"/>
        <n v="-45000.0"/>
        <n v="-900204.0"/>
        <n v="-394000.0"/>
        <n v="-4350000.0"/>
        <n v="1.541165E7"/>
        <n v="-7587340.0"/>
        <n v="1.773E7"/>
        <n v="-1.773E7"/>
        <n v="-28040.84"/>
        <n v="362250.0"/>
        <n v="-900326.0"/>
      </sharedItems>
    </cacheField>
    <cacheField name="Rek 7212" numFmtId="165">
      <sharedItems containsString="0" containsBlank="1" containsNumber="1">
        <n v="6.787939879E7"/>
        <m/>
        <n v="-3.0E7"/>
        <n v="1.0E7"/>
        <n v="410000.0"/>
        <n v="120000.0"/>
        <n v="300000.0"/>
        <n v="700000.0"/>
        <n v="150000.0"/>
        <n v="761300.0"/>
        <n v="-2.0E7"/>
        <n v="600000.0"/>
        <n v="3500000.0"/>
        <n v="50000.0"/>
        <n v="7192600.0"/>
        <n v="5700000.0"/>
        <n v="5000000.0"/>
        <n v="2000000.0"/>
        <n v="-2.5E7"/>
        <n v="-1.5E7"/>
        <n v="1.1716688E7"/>
        <n v="200000.0"/>
        <n v="1.1615688E7"/>
        <n v="1000000.0"/>
        <n v="500000.0"/>
        <n v="2500000.0"/>
        <n v="9799725.0"/>
        <n v="550000.0"/>
        <n v="5542100.0"/>
        <n v="3000000.0"/>
        <n v="1.0108538E7"/>
        <n v="7861975.0"/>
        <n v="1.9E7"/>
        <n v="-2.8E7"/>
        <n v="1.42849E7"/>
        <n v="-5498145.0"/>
        <n v="5575025.0"/>
        <n v="880000.0"/>
        <n v="2695000.0"/>
        <n v="9417650.0"/>
        <n v="-6913890.0"/>
        <n v="1.1463275E7"/>
        <n v="-6512715.0"/>
        <n v="-1.0E7"/>
        <n v="270000.0"/>
        <n v="1.9707625E7"/>
        <n v="-1.0212075E7"/>
        <n v="-3004326.0"/>
        <n v="9705000.0"/>
        <n v="-4608000.0"/>
        <n v="-3000331.0"/>
        <n v="400000.0"/>
        <n v="1.7466625E7"/>
        <n v="-7629975.0"/>
        <n v="-900337.0"/>
        <n v="-3000327.0"/>
        <n v="1.0100675E7"/>
        <n v="-4698225.0"/>
        <n v="370000.0"/>
        <n v="-18517.75"/>
        <n v="1.6E7"/>
        <n v="4000000.0"/>
        <n v="9979000.0"/>
        <n v="-4853025.0"/>
        <n v="-900203.0"/>
        <n v="-3005326.0"/>
        <n v="-5000000.0"/>
        <n v="1.29442E7"/>
        <n v="-6472925.0"/>
        <n v="-159700.0"/>
        <n v="-900000.0"/>
        <n v="-2700000.0"/>
        <n v="750000.0"/>
        <n v="-1.05E7"/>
        <n v="9301400.0"/>
        <n v="-4011840.0"/>
        <n v="-3000329.0"/>
        <n v="1.09754E7"/>
        <n v="-4899240.0"/>
        <n v="-900204.0"/>
        <n v="-734000.0"/>
        <n v="901500.0"/>
        <n v="-1365000.0"/>
        <n v="-4350000.0"/>
        <n v="1.541165E7"/>
        <n v="-7587340.0"/>
        <n v="-18040.84"/>
        <n v="342250.0"/>
        <n v="-900326.0"/>
        <n v="-7000000.0"/>
      </sharedItems>
    </cacheField>
    <cacheField name="Rek 7137" numFmtId="165">
      <sharedItems containsString="0" containsBlank="1" containsNumber="1">
        <n v="2.948326199E7"/>
        <m/>
        <n v="-901500.0"/>
        <n v="1.773E7"/>
        <n v="-1.773E7"/>
        <n v="-10000.0"/>
        <n v="20000.0"/>
      </sharedItems>
    </cacheField>
    <cacheField name="Rek 79100" numFmtId="165">
      <sharedItems containsString="0" containsBlank="1" containsNumber="1" containsInteger="1">
        <n v="0.0"/>
        <n v="-800000.0"/>
        <n v="3.0E7"/>
        <m/>
        <n v="-6002306.0"/>
        <n v="-232000.0"/>
        <n v="-35000.0"/>
        <n v="-100000.0"/>
        <n v="-120000.0"/>
        <n v="-300000.0"/>
        <n v="-350000.0"/>
        <n v="-413000.0"/>
        <n v="-214000.0"/>
        <n v="-501203.0"/>
        <n v="-7000000.0"/>
        <n v="-205000.0"/>
        <n v="-401000.0"/>
        <n v="840000.0"/>
        <n v="-219000.0"/>
        <n v="-421200.0"/>
        <n v="-9952300.0"/>
        <n v="-3166300.0"/>
        <n v="-1161000.0"/>
        <n v="2.0E7"/>
        <n v="-1851000.0"/>
        <n v="-51000.0"/>
        <n v="-400000.0"/>
        <n v="-100325.0"/>
        <n v="-5157500.0"/>
        <n v="-6259729.0"/>
        <n v="-1500000.0"/>
        <n v="-2000360.0"/>
        <n v="-215205.0"/>
        <n v="-416201.0"/>
        <n v="-3000339.0"/>
        <n v="-9000302.0"/>
        <n v="-7400000.0"/>
        <n v="-2300000.0"/>
        <n v="-675000.0"/>
        <n v="2300000.0"/>
        <n v="2000000.0"/>
        <n v="-1239000.0"/>
        <n v="2.5E7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1.5E7"/>
        <n v="200000.0"/>
        <n v="-1711550.0"/>
        <n v="-5336798.0"/>
        <n v="-1260000.0"/>
        <n v="-200238.0"/>
        <n v="-200000.0"/>
        <n v="-301000.0"/>
        <n v="-2500314.0"/>
        <n v="-1258000.0"/>
        <n v="-202500.0"/>
        <n v="-3500000.0"/>
        <n v="-500219.0"/>
        <n v="-3067000.0"/>
        <n v="600000.0"/>
        <n v="-600203.0"/>
        <n v="-3000307.0"/>
        <n v="-230200.0"/>
        <n v="-5000000.0"/>
        <n v="-810000.0"/>
        <n v="-4938525.0"/>
        <n v="-750000.0"/>
        <n v="-700213.0"/>
        <n v="-941000.0"/>
        <n v="-500203.0"/>
        <n v="-247200.0"/>
        <n v="-700000.0"/>
        <n v="-300216.0"/>
        <n v="-1502500.0"/>
        <n v="-2500000.0"/>
        <n v="-1723000.0"/>
        <n v="-205202.0"/>
        <n v="-2580000.0"/>
        <n v="-467000.0"/>
        <n v="-5363798.0"/>
        <n v="-3000344.0"/>
        <n v="-2505000.0"/>
        <n v="-100317.0"/>
        <n v="-282500.0"/>
        <n v="-797000.0"/>
        <n v="-265000.0"/>
        <n v="-2000315.0"/>
        <n v="-2266000.0"/>
        <n v="-1946500.0"/>
        <n v="-680000.0"/>
        <n v="-516000.0"/>
        <n v="-440000.0"/>
        <n v="-500319.0"/>
        <n v="-300313.0"/>
        <n v="-2575410.0"/>
        <n v="-500000.0"/>
        <n v="-997000.0"/>
        <n v="-3000312.0"/>
        <n v="-2500304.0"/>
        <n v="-650000.0"/>
        <n v="-472300.0"/>
        <n v="-3000313.0"/>
        <n v="-800314.0"/>
        <n v="-5060340.0"/>
        <n v="-1408000.0"/>
        <n v="-300344.0"/>
        <n v="-200320.0"/>
        <n v="750000.0"/>
        <n v="-250000.0"/>
        <n v="-1863000.0"/>
        <n v="-3000318.0"/>
        <n v="-373000.0"/>
        <n v="-3000322.0"/>
        <n v="-600000.0"/>
        <n v="-3000000.0"/>
        <n v="-500303.0"/>
        <n v="-6000301.0"/>
        <n v="-4980004.0"/>
        <n v="4980000.0"/>
        <n v="-498000.0"/>
        <n v="-3466710.0"/>
        <n v="-220500.0"/>
        <n v="-4020300.0"/>
        <n v="-250300.0"/>
        <n v="-305301.0"/>
        <n v="-1198000.0"/>
        <n v="-1160300.0"/>
        <n v="-1038000.0"/>
        <n v="-793000.0"/>
        <n v="-315000.0"/>
        <n v="-500301.0"/>
        <n v="-250304.0"/>
        <n v="-259000.0"/>
        <n v="-8000300.0"/>
        <n v="2.8E7"/>
        <n v="-3000311.0"/>
        <n v="-227000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-2293065.0"/>
        <n v="-3000304.0"/>
        <n v="300000.0"/>
        <n v="-2500307.0"/>
        <n v="-1019000.0"/>
        <n v="-858000.0"/>
        <n v="-5000304.0"/>
        <n v="-500202.0"/>
        <n v="-2044000.0"/>
        <n v="-500336.0"/>
        <n v="-317000.0"/>
        <n v="-4000316.0"/>
        <n v="-1324000.0"/>
        <n v="4000000.0"/>
        <n v="-506000.0"/>
        <n v="-2695000.0"/>
        <n v="-414000.0"/>
        <n v="-3000310.0"/>
        <n v="-521000.0"/>
        <n v="-5000300.0"/>
        <n v="-374000.0"/>
        <n v="-738000.0"/>
        <n v="-801000.0"/>
        <n v="-200377.0"/>
        <n v="-250377.0"/>
        <n v="-493000.0"/>
        <n v="1.0E7"/>
        <n v="-270000.0"/>
        <n v="-1643000.0"/>
        <n v="-250369.0"/>
        <n v="-538000.0"/>
        <n v="-887000.0"/>
        <n v="-1150000.0"/>
        <n v="-200204.0"/>
        <n v="-1502000.0"/>
        <n v="-1202000.0"/>
        <n v="-802000.0"/>
        <n v="-378000.0"/>
        <n v="-6700326.0"/>
        <n v="800000.0"/>
        <n v="350000.0"/>
        <n v="-850329.0"/>
        <n v="-604000.0"/>
        <n v="-752000.0"/>
        <n v="-500327.0"/>
        <n v="-500333.0"/>
        <n v="-350331.0"/>
        <n v="-1000345.0"/>
        <n v="-300333.0"/>
        <n v="-815000.0"/>
        <n v="-200326.0"/>
        <n v="-1000352.0"/>
        <n v="-1669000.0"/>
        <n v="-150000.0"/>
        <n v="-3500332.0"/>
        <n v="-13125.0"/>
        <n v="3500000.0"/>
        <n v="-1287000.0"/>
        <n v="-152000.0"/>
        <n v="-954550.0"/>
        <n v="-488000.0"/>
        <n v="5000000.0"/>
        <n v="-194000.0"/>
        <n v="45000.0"/>
        <n v="-2000330.0"/>
        <n v="-4250326.0"/>
        <n v="-99326.0"/>
        <n v="-1052000.0"/>
        <n v="-737000.0"/>
        <n v="-300341.0"/>
        <n v="1000000.0"/>
        <n v="-1400326.0"/>
        <n v="-1.6E7"/>
        <n v="150000.0"/>
        <n v="-601328.0"/>
        <n v="-339000.0"/>
        <n v="-151500.0"/>
        <n v="-2000343.0"/>
        <n v="-1630325.0"/>
        <n v="-100336.0"/>
        <n v="-1916000.0"/>
        <n v="-501327.0"/>
        <n v="-1008000.0"/>
        <n v="-384000.0"/>
        <n v="-365000.0"/>
        <n v="-234000.0"/>
        <n v="-2700000.0"/>
        <n v="-51500.0"/>
        <n v="2700000.0"/>
        <n v="-1615000.0"/>
        <n v="-468000.0"/>
        <n v="-653500.0"/>
        <n v="-3003326.0"/>
        <n v="7000000.0"/>
      </sharedItems>
    </cacheField>
    <cacheField name="Bea admin" numFmtId="0">
      <sharedItems containsString="0" containsBlank="1" containsNumber="1" containsInteger="1">
        <m/>
        <n v="2306.0"/>
        <n v="1203.0"/>
        <n v="1000.0"/>
        <n v="1200.0"/>
        <n v="2300.0"/>
        <n v="1300.0"/>
        <n v="325.0"/>
        <n v="2500.0"/>
        <n v="360.0"/>
        <n v="205.0"/>
        <n v="201.0"/>
        <n v="339.0"/>
        <n v="302.0"/>
        <n v="315.0"/>
        <n v="300.0"/>
        <n v="238.0"/>
        <n v="314.0"/>
        <n v="219.0"/>
        <n v="203.0"/>
        <n v="307.0"/>
        <n v="213.0"/>
        <n v="200.0"/>
        <n v="216.0"/>
        <n v="202.0"/>
        <n v="344.0"/>
        <n v="317.0"/>
        <n v="319.0"/>
        <n v="313.0"/>
        <n v="312.0"/>
        <n v="304.0"/>
        <n v="320.0"/>
        <n v="318.0"/>
        <n v="322.0"/>
        <n v="303.0"/>
        <n v="301.0"/>
        <n v="311.0"/>
        <n v="336.0"/>
        <n v="316.0"/>
        <n v="310.0"/>
        <n v="377.0"/>
        <n v="369.0"/>
        <n v="204.0"/>
        <n v="2000.0"/>
        <n v="326.0"/>
        <n v="329.0"/>
        <n v="327.0"/>
        <n v="333.0"/>
        <n v="331.0"/>
        <n v="345.0"/>
        <n v="4326.0"/>
        <n v="352.0"/>
        <n v="332.0"/>
        <n v="337.0"/>
        <n v="330.0"/>
        <n v="341.0"/>
        <n v="1328.0"/>
        <n v="1500.0"/>
        <n v="1327.0"/>
      </sharedItems>
    </cacheField>
    <cacheField name="Asep" numFmtId="0">
      <sharedItems containsString="0" containsBlank="1" containsNumber="1" containsInteger="1">
        <m/>
        <n v="1239000.0"/>
        <n v="-392000.0"/>
        <n v="-446000.0"/>
        <n v="-261000.0"/>
        <n v="-207000.0"/>
        <n v="-1410000.0"/>
        <n v="-351000.0"/>
        <n v="3067000.0"/>
        <n v="-359000.0"/>
        <n v="-305000.0"/>
        <n v="-277500.0"/>
        <n v="941000.0"/>
        <n v="-425000.0"/>
        <n v="-152500.0"/>
        <n v="-533000.0"/>
        <n v="-528000.0"/>
        <n v="-377000.0"/>
        <n v="-365000.0"/>
        <n v="2500000.0"/>
        <n v="-757000.0"/>
        <n v="1723000.0"/>
        <n v="2580000.0"/>
        <n v="-203000.0"/>
        <n v="-120000.0"/>
        <n v="-363000.0"/>
        <n v="-298000.0"/>
        <n v="-478000.0"/>
        <n v="-489000.0"/>
        <n v="-265000.0"/>
        <n v="2505000.0"/>
        <n v="-648000.0"/>
        <n v="-366000.0"/>
        <n v="265000.0"/>
        <n v="-200000.0"/>
        <n v="-86000.0"/>
        <n v="-766000.0"/>
        <n v="2266000.0"/>
        <n v="-270000.0"/>
        <n v="-170000.0"/>
        <n v="-300000.0"/>
        <n v="200000.0"/>
        <n v="440000.0"/>
        <n v="500000.0"/>
        <n v="-480000.0"/>
        <n v="-67000.0"/>
        <n v="-150000.0"/>
        <n v="997000.0"/>
        <n v="650000.0"/>
        <n v="-23000.0"/>
        <n v="-174000.0"/>
        <n v="-117000.0"/>
        <n v="-285000.0"/>
        <n v="-169000.0"/>
        <n v="-234000.0"/>
        <n v="1408000.0"/>
        <n v="-403000.0"/>
        <n v="-228000.0"/>
        <n v="-333000.0"/>
        <n v="-465000.0"/>
        <n v="1863000.0"/>
        <n v="-498000.0"/>
        <n v="-445000.0"/>
        <n v="4980004.0"/>
        <n v="-4980000.0"/>
        <n v="498000.0"/>
        <n v="-215000.0"/>
        <n v="-538000.0"/>
        <n v="1198000.0"/>
        <n v="-95000.0"/>
        <n v="-457000.0"/>
        <n v="-83000.0"/>
        <n v="1038000.0"/>
        <n v="-294000.0"/>
        <n v="-220000.0"/>
        <n v="-344000.0"/>
        <n v="858000.0"/>
        <n v="-317000.0"/>
        <n v="2044000.0"/>
        <n v="317000.0"/>
        <n v="-130000.0"/>
        <n v="1324000.0"/>
        <n v="-173000.0"/>
        <n v="506000.0"/>
        <n v="-103000.0"/>
        <n v="-227000.0"/>
        <n v="-84000.0"/>
        <n v="414000.0"/>
        <n v="-60000.0"/>
        <n v="-25000.0"/>
        <n v="521000.0"/>
        <n v="374000.0"/>
        <n v="738000.0"/>
        <n v="-50000.0"/>
        <n v="-37000.0"/>
        <n v="493000.0"/>
        <n v="-129000.0"/>
        <n v="-600000.0"/>
        <n v="-576000.0"/>
        <n v="-135000.0"/>
        <n v="1643000.0"/>
        <n v="538000.0"/>
        <n v="-172000.0"/>
        <n v="-160000.0"/>
        <n v="-335000.0"/>
        <n v="-44000.0"/>
        <n v="887000.0"/>
        <n v="-350000.0"/>
        <n v="350000.0"/>
        <n v="-378000.0"/>
        <n v="378000.0"/>
        <n v="-604000.0"/>
        <n v="604000.0"/>
        <n v="-87000.0"/>
        <n v="-390000.0"/>
        <n v="-250000.0"/>
        <n v="1669000.0"/>
        <n v="-400000.0"/>
        <n v="-450000.0"/>
        <n v="1150000.0"/>
        <n v="-1287000.0"/>
        <n v="1287000.0"/>
        <n v="-338550.0"/>
        <n v="954550.0"/>
        <n v="-488000.0"/>
        <n v="488000.0"/>
        <n v="-100000.0"/>
        <n v="-94000.0"/>
        <n v="194000.0"/>
        <n v="-725000.0"/>
        <n v="-49000.0"/>
        <n v="-75000.0"/>
        <n v="1052000.0"/>
        <n v="-283000.0"/>
        <n v="-209000.0"/>
        <n v="-245000.0"/>
        <n v="737000.0"/>
        <n v="-236000.0"/>
        <n v="339000.0"/>
        <n v="1916000.0"/>
        <n v="-70000.0"/>
        <n v="-355000.0"/>
        <n v="-157000.0"/>
        <n v="-302000.0"/>
        <n v="-64000.0"/>
        <n v="1008000.0"/>
        <n v="-384000.0"/>
        <n v="384000.0"/>
        <n v="365000.0"/>
        <n v="234000.0"/>
        <n v="-206000.0"/>
        <n v="-213000.0"/>
        <n v="-338000.0"/>
        <n v="1615000.0"/>
        <n v="-368000.0"/>
        <n v="468000.0"/>
        <n v="-96000.0"/>
        <n v="-585000.0"/>
        <n v="-240000.0"/>
        <n v="-164000.0"/>
        <n v="-386000.0"/>
        <n v="-103500.0"/>
        <n v="653500.0"/>
        <n v="-111000.0"/>
        <n v="-578000.0"/>
        <n v="-45000.0"/>
        <n v="734000.0"/>
        <n v="-394000.0"/>
        <n v="1365000.0"/>
      </sharedItems>
    </cacheField>
    <cacheField name="DPRa" numFmtId="0">
      <sharedItems containsString="0" containsBlank="1" containsNumber="1" containsInteger="1">
        <m/>
        <n v="6000000.0"/>
        <n v="3000000.0"/>
        <n v="9000000.0"/>
        <n v="2000000.0"/>
      </sharedItems>
    </cacheField>
    <cacheField name="Actionpay" numFmtId="0">
      <sharedItems containsString="0" containsBlank="1" containsNumber="1" containsInteger="1">
        <m/>
        <n v="400000.0"/>
        <n v="-400000.0"/>
        <n v="1850000.0"/>
        <n v="-350000.0"/>
        <n v="-300000.0"/>
        <n v="-250000.0"/>
        <n v="50000.0"/>
        <n v="801000.0"/>
        <n v="401000.0"/>
        <n v="1500000.0"/>
        <n v="1200000.0"/>
        <n v="800000.0"/>
        <n v="-800000.0"/>
        <n v="750000.0"/>
      </sharedItems>
    </cacheField>
    <cacheField name="BeaKegiatan" numFmtId="0">
      <sharedItems containsString="0" containsBlank="1" containsNumber="1" containsInteger="1">
        <m/>
        <n v="400000.0"/>
        <n v="9950000.0"/>
        <n v="2000000.0"/>
        <n v="215000.0"/>
        <n v="2300000.0"/>
        <n v="675000.0"/>
        <n v="1200000.0"/>
        <n v="388960.0"/>
        <n v="1000000.0"/>
        <n v="4920000.0"/>
        <n v="75000.0"/>
        <n v="5450000.0"/>
        <n v="1260000.0"/>
        <n v="1258000.0"/>
        <n v="200000.0"/>
        <n v="392000.0"/>
        <n v="446000.0"/>
        <n v="1410000.0"/>
        <n v="351000.0"/>
        <n v="5000000.0"/>
        <n v="700000.0"/>
        <n v="425000.0"/>
        <n v="300000.0"/>
        <n v="533000.0"/>
        <n v="528000.0"/>
        <n v="377000.0"/>
        <n v="205000.0"/>
        <n v="467000.0"/>
        <n v="265000.0"/>
        <n v="680000.0"/>
        <n v="2500000.0"/>
        <n v="250000.0"/>
        <n v="6000000.0"/>
        <n v="130000.0"/>
        <n v="500000.0"/>
      </sharedItems>
    </cacheField>
    <cacheField name="Konsumsi" numFmtId="0">
      <sharedItems containsString="0" containsBlank="1" containsNumber="1" containsInteger="1">
        <m/>
        <n v="420000.0"/>
        <n v="3165000.0"/>
        <n v="1161000.0"/>
        <n v="416000.0"/>
        <n v="270000.0"/>
        <n v="170000.0"/>
        <n v="300000.0"/>
        <n v="480000.0"/>
        <n v="150000.0"/>
        <n v="305000.0"/>
        <n v="259000.0"/>
        <n v="317000.0"/>
        <n v="173000.0"/>
        <n v="227000.0"/>
        <n v="84000.0"/>
        <n v="203000.0"/>
        <n v="200000.0"/>
        <n v="576000.0"/>
        <n v="172000.0"/>
        <n v="160000.0"/>
        <n v="335000.0"/>
      </sharedItems>
    </cacheField>
    <cacheField name="Ops" numFmtId="0">
      <sharedItems containsString="0" containsBlank="1" containsNumber="1" containsInteger="1">
        <m/>
        <n v="1500000.0"/>
        <n v="200000.0"/>
        <n v="2500000.0"/>
        <n v="261000.0"/>
        <n v="207000.0"/>
        <n v="810000.0"/>
        <n v="152500.0"/>
        <n v="365000.0"/>
        <n v="757000.0"/>
        <n v="203000.0"/>
        <n v="120000.0"/>
        <n v="363000.0"/>
        <n v="298000.0"/>
        <n v="478000.0"/>
        <n v="489000.0"/>
        <n v="3000000.0"/>
        <n v="300000.0"/>
        <n v="67000.0"/>
        <n v="500000.0"/>
        <n v="250000.0"/>
        <n v="1750000.0"/>
        <n v="600000.0"/>
        <n v="100000.0"/>
        <n v="44000.0"/>
      </sharedItems>
    </cacheField>
    <cacheField name="Taawun" numFmtId="0">
      <sharedItems containsString="0" containsBlank="1" containsNumber="1" containsInteger="1">
        <m/>
        <n v="500000.0"/>
        <n v="750000.0"/>
        <n v="247000.0"/>
        <n v="700000.0"/>
        <n v="1500000.0"/>
        <n v="300000.0"/>
        <n v="350000.0"/>
      </sharedItems>
    </cacheField>
    <cacheField name="piutang" numFmtId="0">
      <sharedItems containsString="0" containsBlank="1" containsNumber="1" containsInteger="1">
        <m/>
        <n v="5000000.0"/>
        <n v="4000000.0"/>
        <n v="-4000000.0"/>
        <n v="800000.0"/>
      </sharedItems>
    </cacheField>
    <cacheField name="Jumlah Keluar" numFmtId="0">
      <sharedItems containsString="0" containsBlank="1" containsNumber="1" containsInteger="1">
        <n v="0.0"/>
        <n v="800000.0"/>
        <n v="6002306.0"/>
        <n v="232000.0"/>
        <n v="35000.0"/>
        <n v="100000.0"/>
        <n v="120000.0"/>
        <n v="300000.0"/>
        <n v="350000.0"/>
        <n v="413000.0"/>
        <n v="214000.0"/>
        <n v="501203.0"/>
        <n v="7000000.0"/>
        <n v="205000.0"/>
        <n v="1000.0"/>
        <n v="400000.0"/>
        <n v="219000.0"/>
        <n v="421200.0"/>
        <n v="9952300.0"/>
        <n v="3166300.0"/>
        <n v="1161000.0"/>
        <n v="250000.0"/>
        <n v="100325.0"/>
        <n v="5157500.0"/>
        <n v="6259729.0"/>
        <n v="1500000.0"/>
        <n v="2000360.0"/>
        <n v="215205.0"/>
        <n v="416201.0"/>
        <n v="3000339.0"/>
        <n v="9000302.0"/>
        <n v="7400000.0"/>
        <n v="2300000.0"/>
        <n v="675000.0"/>
        <n v="3930000.0"/>
        <n v="1202500.0"/>
        <n v="2000000.0"/>
        <n v="391460.0"/>
        <n v="3000315.0"/>
        <n v="1000000.0"/>
        <n v="4920300.0"/>
        <n v="75201.0"/>
        <n v="5450300.0"/>
        <n v="26250.0"/>
        <n v="1711550.0"/>
        <n v="5336798.0"/>
        <n v="1260000.0"/>
        <n v="200238.0"/>
        <n v="200000.0"/>
        <n v="301000.0"/>
        <n v="2500314.0"/>
        <n v="1258000.0"/>
        <n v="202500.0"/>
        <n v="392000.0"/>
        <n v="446000.0"/>
        <n v="3500000.0"/>
        <n v="261000.0"/>
        <n v="207000.0"/>
        <n v="1410000.0"/>
        <n v="351000.0"/>
        <n v="500219.0"/>
        <n v="600203.0"/>
        <n v="3000307.0"/>
        <n v="230200.0"/>
        <n v="5000000.0"/>
        <n v="810000.0"/>
        <n v="4938525.0"/>
        <n v="359000.0"/>
        <n v="305000.0"/>
        <n v="750000.0"/>
        <n v="277500.0"/>
        <n v="700213.0"/>
        <n v="500203.0"/>
        <n v="425000.0"/>
        <n v="247200.0"/>
        <n v="700000.0"/>
        <n v="152500.0"/>
        <n v="300216.0"/>
        <n v="1502500.0"/>
        <n v="533000.0"/>
        <n v="528000.0"/>
        <n v="377000.0"/>
        <n v="365000.0"/>
        <n v="757000.0"/>
        <n v="205202.0"/>
        <n v="203000.0"/>
        <n v="467000.0"/>
        <n v="363000.0"/>
        <n v="5363798.0"/>
        <n v="298000.0"/>
        <n v="478000.0"/>
        <n v="489000.0"/>
        <n v="3000344.0"/>
        <n v="265000.0"/>
        <n v="100317.0"/>
        <n v="282500.0"/>
        <n v="797000.0"/>
        <n v="648000.0"/>
        <n v="366000.0"/>
        <n v="86000.0"/>
        <n v="766000.0"/>
        <n v="2000315.0"/>
        <n v="1946500.0"/>
        <n v="680000.0"/>
        <n v="516000.0"/>
        <n v="270000.0"/>
        <n v="170000.0"/>
        <n v="500319.0"/>
        <n v="300313.0"/>
        <n v="2575410.0"/>
        <n v="480000.0"/>
        <n v="67000.0"/>
        <n v="150000.0"/>
        <n v="3000312.0"/>
        <n v="2500304.0"/>
        <n v="500000.0"/>
        <n v="650000.0"/>
        <n v="23000.0"/>
        <n v="472300.0"/>
        <n v="3000313.0"/>
        <n v="174000.0"/>
        <n v="800314.0"/>
        <n v="117000.0"/>
        <n v="5060340.0"/>
        <n v="285000.0"/>
        <n v="169000.0"/>
        <n v="234000.0"/>
        <n v="2500000.0"/>
        <n v="403000.0"/>
        <n v="300344.0"/>
        <n v="200320.0"/>
        <n v="228000.0"/>
        <n v="333000.0"/>
        <n v="465000.0"/>
        <n v="3000318.0"/>
        <n v="373000.0"/>
        <n v="3000322.0"/>
        <n v="600000.0"/>
        <n v="3000000.0"/>
        <n v="498000.0"/>
        <n v="500303.0"/>
        <n v="445000.0"/>
        <n v="6000301.0"/>
        <n v="3466710.0"/>
        <n v="220500.0"/>
        <n v="4020300.0"/>
        <n v="215000.0"/>
        <n v="250300.0"/>
        <n v="538000.0"/>
        <n v="305301.0"/>
        <n v="95000.0"/>
        <n v="457000.0"/>
        <n v="1160300.0"/>
        <n v="83000.0"/>
        <n v="793000.0"/>
        <n v="315000.0"/>
        <n v="500301.0"/>
        <n v="250304.0"/>
        <n v="259000.0"/>
        <n v="8000300.0"/>
        <n v="3000311.0"/>
        <n v="227000.0"/>
        <n v="5498145.0"/>
        <n v="1750000.0"/>
        <n v="1877000.0"/>
        <n v="500312.0"/>
        <n v="500300.0"/>
        <n v="600303.0"/>
        <n v="2500302.0"/>
        <n v="93000.0"/>
        <n v="929000.0"/>
        <n v="1553000.0"/>
        <n v="4271600.0"/>
        <n v="2293065.0"/>
        <n v="3000304.0"/>
        <n v="294000.0"/>
        <n v="220000.0"/>
        <n v="2500307.0"/>
        <n v="344000.0"/>
        <n v="1019000.0"/>
        <n v="5000304.0"/>
        <m/>
      </sharedItems>
    </cacheField>
    <cacheField name="Jumlah Masuk" numFmtId="0">
      <sharedItems containsString="0" containsBlank="1" containsNumber="1" containsInteger="1">
        <n v="0.0"/>
        <n v="-1.0E7"/>
        <n v="-410000.0"/>
        <n v="-120000.0"/>
        <n v="-300000.0"/>
        <n v="-700000.0"/>
        <n v="-150000.0"/>
        <n v="-840000.0"/>
        <n v="-761300.0"/>
        <n v="-600000.0"/>
        <n v="-3500000.0"/>
        <n v="-50000.0"/>
        <n v="-7192600.0"/>
        <n v="-5700000.0"/>
        <n v="-5000000.0"/>
        <n v="-2000000.0"/>
        <n v="-2300000.0"/>
        <n v="-3930000.0"/>
        <n v="-1.1E7"/>
        <n v="-200000.0"/>
        <n v="-1.1716688E7"/>
        <n v="-1.1615688E7"/>
        <n v="-1000000.0"/>
        <n v="-500000.0"/>
        <n v="-2500000.0"/>
        <n v="-9799725.0"/>
        <n v="-550000.0"/>
        <n v="-5542100.0"/>
        <n v="-3000000.0"/>
        <n v="-1.0108538E7"/>
        <n v="-750000.0"/>
        <n v="-7861975.0"/>
        <n v="-1.9E7"/>
        <n v="-1.42849E7"/>
        <n v="-5575025.0"/>
        <n v="-880000.0"/>
        <n v="-2695000.0"/>
        <n v="-4000000.0"/>
        <n v="-9417650.0"/>
        <n v="-1.1463275E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207" sheet="Utama"/>
  </cacheSource>
  <cacheFields>
    <cacheField name="Tanggal" numFmtId="164">
      <sharedItems containsDate="1" containsString="0" containsBlank="1">
        <d v="2025-01-31T00:00:00Z"/>
        <d v="2025-02-02T00:00:00Z"/>
        <d v="2025-02-03T00:00:00Z"/>
        <d v="2025-02-07T00:00:00Z"/>
        <d v="2025-02-08T00:00:00Z"/>
        <d v="2025-02-09T00:00:00Z"/>
        <d v="2025-02-12T00:00:00Z"/>
        <d v="2025-02-13T00:00:00Z"/>
        <d v="2025-02-14T00:00:00Z"/>
        <d v="2025-02-16T00:00:00Z"/>
        <d v="2025-02-17T00:00:00Z"/>
        <d v="2025-02-18T00:00:00Z"/>
        <d v="2025-02-20T00:00:00Z"/>
        <d v="2025-02-22T00:00:00Z"/>
        <d v="2025-02-23T00:00:00Z"/>
        <d v="2025-02-24T00:00:00Z"/>
        <d v="2025-02-25T00:00:00Z"/>
        <d v="2025-02-26T00:00:00Z"/>
        <d v="2025-02-28T00:00:00Z"/>
        <d v="2025-03-05T00:00:00Z"/>
        <d v="2025-03-06T00:00:00Z"/>
        <d v="2025-03-07T00:00:00Z"/>
        <d v="2025-03-08T00:00:00Z"/>
        <d v="2025-03-10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6T00:00:00Z"/>
        <d v="2025-03-27T00:00:00Z"/>
        <d v="2025-03-28T00:00:00Z"/>
        <d v="2025-03-30T00:00:00Z"/>
        <d v="2025-04-10T00:00:00Z"/>
        <d v="2025-04-11T00:00:00Z"/>
        <d v="2025-04-12T00:00:00Z"/>
        <d v="2025-04-13T00:00:00Z"/>
        <d v="2025-04-17T00:00:00Z"/>
        <d v="2025-04-18T00:00:00Z"/>
        <d v="2025-04-19T00:00:00Z"/>
        <d v="2025-04-20T00:00:00Z"/>
        <d v="2025-04-21T00:00:00Z"/>
        <d v="2025-04-23T00:00:00Z"/>
        <d v="2025-04-24T00:00:00Z"/>
        <d v="2025-04-28T00:00:00Z"/>
        <d v="2025-04-30T00:00:00Z"/>
        <d v="2025-05-02T00:00:00Z"/>
        <d v="2025-05-03T00:00:00Z"/>
        <d v="2025-05-04T00:00:00Z"/>
        <d v="2025-05-06T00:00:00Z"/>
        <d v="2025-05-07T00:00:00Z"/>
        <d v="2025-05-08T00:00:00Z"/>
        <d v="2025-05-09T00:00:00Z"/>
        <d v="2025-05-10T00:00:00Z"/>
        <d v="2025-05-11T00:00:00Z"/>
        <d v="2025-05-15T00:00:00Z"/>
        <d v="2025-05-16T00:00:00Z"/>
        <d v="2025-05-17T00:00:00Z"/>
        <d v="2025-05-18T00:00:00Z"/>
        <d v="2025-05-20T00:00:00Z"/>
        <d v="2025-05-25T00:00:00Z"/>
        <d v="2025-05-28T00:00:00Z"/>
        <d v="2025-05-29T00:00:00Z"/>
        <d v="2025-05-30T00:00:00Z"/>
        <d v="2025-05-31T00:00:00Z"/>
        <d v="2025-06-01T00:00:00Z"/>
        <d v="2025-06-03T00:00:00Z"/>
        <d v="2025-06-07T00:00:00Z"/>
        <d v="2025-06-08T00:00:00Z"/>
        <d v="2025-06-11T00:00:00Z"/>
        <d v="2025-06-13T00:00:00Z"/>
        <d v="2025-06-15T00:00:00Z"/>
        <d v="2025-06-16T00:00:00Z"/>
        <d v="2025-06-17T00:00:00Z"/>
        <d v="2025-06-21T00:00:00Z"/>
        <d v="2025-06-23T00:00:00Z"/>
        <d v="2025-06-24T00:00:00Z"/>
        <d v="2025-06-25T00:00:00Z"/>
        <d v="2025-06-26T00:00:00Z"/>
        <d v="2025-06-27T00:00:00Z"/>
        <d v="2025-06-30T00:00:00Z"/>
        <d v="2025-07-02T00:00:00Z"/>
        <d v="2025-07-03T00:00:00Z"/>
        <d v="2025-07-06T00:00:00Z"/>
        <d v="2025-07-07T00:00:00Z"/>
        <d v="2025-07-08T00:00:00Z"/>
        <d v="2025-07-09T00:00:00Z"/>
        <d v="2025-07-10T00:00:00Z"/>
        <d v="2025-07-14T00:00:00Z"/>
        <d v="2025-07-17T00:00:00Z"/>
        <d v="2025-07-18T00:00:00Z"/>
        <d v="2025-07-19T00:00:00Z"/>
        <d v="2025-07-20T00:00:00Z"/>
        <d v="2025-07-21T00:00:00Z"/>
        <d v="2025-07-22T00:00:00Z"/>
        <d v="2025-07-25T00:00:00Z"/>
        <d v="2025-07-26T00:00:00Z"/>
        <d v="2025-07-27T00:00:00Z"/>
        <d v="2025-07-28T00:00:00Z"/>
        <d v="2025-07-29T00:00:00Z"/>
        <d v="2025-07-31T00:00:00Z"/>
        <d v="2025-08-01T00:00:00Z"/>
        <d v="2025-08-02T00:00:00Z"/>
        <d v="2025-08-03T00:00:00Z"/>
        <d v="2025-08-04T00:00:00Z"/>
        <d v="2025-08-07T00:00:00Z"/>
        <d v="2025-08-08T00:00:00Z"/>
        <d v="2025-08-09T00:00:00Z"/>
        <d v="2025-08-10T00:00:00Z"/>
        <d v="2025-08-15T00:00:00Z"/>
        <d v="2025-08-18T00:00:00Z"/>
        <d v="2025-08-20T00:00:00Z"/>
        <d v="2025-08-21T00:00:00Z"/>
        <d v="2025-08-22T00:00:00Z"/>
        <d v="2025-08-23T00:00:00Z"/>
        <d v="2025-08-24T00:00:00Z"/>
        <d v="2025-08-27T00:00:00Z"/>
        <d v="2025-08-28T00:00:00Z"/>
        <d v="2025-08-29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10T00:00:00Z"/>
        <d v="2025-09-11T00:00:00Z"/>
        <d v="2025-09-12T00:00:00Z"/>
        <d v="2025-09-13T00:00:00Z"/>
        <d v="2025-09-15T00:00:00Z"/>
        <d v="2025-09-17T00:00:00Z"/>
        <d v="2025-09-18T00:00:00Z"/>
        <d v="2025-09-21T00:00:00Z"/>
        <d v="2025-09-22T00:00:00Z"/>
        <d v="2025-09-23T00:00:00Z"/>
        <d v="2025-09-25T00:00:00Z"/>
        <d v="2025-09-30T00:00:00Z"/>
        <d v="2025-10-01T00:00:00Z"/>
        <d v="2025-10-02T00:00:00Z"/>
        <d v="2025-10-04T00:00:00Z"/>
        <d v="2025-10-05T00:00:00Z"/>
        <d v="2025-10-07T00:00:00Z"/>
        <d v="2025-10-08T00:00:00Z"/>
        <d v="2025-10-10T00:00:00Z"/>
        <d v="2025-10-14T00:00:00Z"/>
        <d v="2025-10-15T00:00:00Z"/>
        <d v="2025-10-16T00:00:00Z"/>
        <d v="2025-10-17T00:00:00Z"/>
        <d v="2025-10-20T00:00:00Z"/>
        <d v="2025-10-21T00:00:00Z"/>
        <d v="2025-10-23T00:00:00Z"/>
        <d v="2025-10-25T00:00:00Z"/>
        <d v="2025-10-28T00:00:00Z"/>
        <d v="2025-10-29T00:00:00Z"/>
        <d v="2025-10-30T00:00:00Z"/>
        <d v="2025-10-31T00:00:00Z"/>
        <d v="2025-11-02T00:00:00Z"/>
        <d v="2025-11-03T00:00:00Z"/>
        <d v="2025-11-04T00:00:00Z"/>
        <d v="2025-11-06T00:00:00Z"/>
        <d v="2025-11-07T00:00:00Z"/>
        <d v="2025-11-08T00:00:00Z"/>
        <d v="2025-11-09T00:00:00Z"/>
        <d v="2025-11-11T00:00:00Z"/>
        <d v="2025-11-15T00:00:00Z"/>
        <d v="2025-11-19T00:00:00Z"/>
        <d v="2025-11-20T00:00:00Z"/>
        <d v="2025-11-21T00:00:00Z"/>
        <d v="2025-11-22T00:00:00Z"/>
        <d v="2025-11-23T00:00:00Z"/>
        <d v="2025-11-25T00:00:00Z"/>
        <d v="2025-11-26T00:00:00Z"/>
        <d v="2025-11-27T00:00:00Z"/>
        <d v="2025-11-28T00:00:00Z"/>
        <d v="2025-11-29T00:00:00Z"/>
        <d v="2025-12-01T00:00:00Z"/>
        <d v="2025-12-03T00:00:00Z"/>
        <d v="2025-12-04T00:00:00Z"/>
        <d v="2025-12-06T00:00:00Z"/>
        <d v="2025-12-07T00:00:00Z"/>
        <d v="2025-12-08T00:00:00Z"/>
        <d v="2025-12-09T00:00:00Z"/>
        <d v="2025-12-10T00:00:00Z"/>
        <d v="2025-12-13T00:00:00Z"/>
        <d v="2025-12-16T00:00:00Z"/>
        <d v="2025-12-17T00:00:00Z"/>
        <d v="2025-12-19T00:00:00Z"/>
        <d v="2025-12-21T00:00:00Z"/>
        <d v="2025-12-23T00:00:00Z"/>
        <d v="2025-12-24T00:00:00Z"/>
        <d v="2025-12-25T00:00:00Z"/>
        <d v="2025-12-26T00:00:00Z"/>
        <d v="2025-12-27T00:00:00Z"/>
        <d v="2025-12-28T00:00:00Z"/>
        <d v="2025-12-31T00:00:00Z"/>
        <d v="2026-01-01T00:00:00Z"/>
        <d v="2026-01-07T00:00:00Z"/>
        <d v="2026-01-09T00:00:00Z"/>
        <d v="2026-01-11T00:00:00Z"/>
        <d v="2026-01-14T00:00:00Z"/>
        <d v="2026-01-16T00:00:00Z"/>
        <d v="2026-01-18T00:00:00Z"/>
        <d v="2026-01-19T00:00:00Z"/>
        <d v="2026-01-20T00:00:00Z"/>
        <d v="2026-01-21T00:00:00Z"/>
        <d v="2026-01-22T00:00:00Z"/>
        <d v="2026-01-23T00:00:00Z"/>
        <d v="2026-01-25T00:00:00Z"/>
        <d v="2026-01-27T00:00:00Z"/>
        <d v="2026-01-28T00:00:00Z"/>
        <d v="2026-02-01T00:00:00Z"/>
        <d v="2026-02-03T00:00:00Z"/>
        <d v="2026-02-06T00:00:00Z"/>
        <d v="2026-02-08T00:00:00Z"/>
        <d v="2026-02-12T00:00:00Z"/>
        <d v="2026-02-14T00:00:00Z"/>
        <d v="2026-02-15T00:00:00Z"/>
        <d v="2026-02-17T00:00:00Z"/>
        <d v="2026-02-18T00:00:00Z"/>
        <d v="2026-02-21T00:00:00Z"/>
        <d v="2026-02-23T00:00:00Z"/>
        <d v="2026-02-27T00:00:00Z"/>
        <d v="2026-02-28T00:00:00Z"/>
        <d v="2026-03-01T00:00:00Z"/>
        <d v="2026-03-06T00:00:00Z"/>
        <d v="2026-03-07T00:00:00Z"/>
        <d v="2026-03-09T00:00:00Z"/>
        <d v="2026-03-10T00:00:00Z"/>
        <d v="2026-03-11T00:00:00Z"/>
        <d v="2026-03-13T00:00:00Z"/>
        <d v="2026-03-14T00:00:00Z"/>
        <d v="2026-03-15T00:00:00Z"/>
        <d v="2026-03-16T00:00:00Z"/>
        <d v="2026-03-17T00:00:00Z"/>
        <d v="2026-03-18T00:00:00Z"/>
        <d v="2026-03-20T00:00:00Z"/>
        <d v="2026-03-21T00:00:00Z"/>
        <d v="2026-03-22T00:00:00Z"/>
        <d v="2026-03-23T00:00:00Z"/>
        <d v="2026-03-26T00:00:00Z"/>
        <d v="2026-03-29T00:00:00Z"/>
        <d v="2026-04-01T00:00:00Z"/>
        <d v="2026-04-02T00:00:00Z"/>
        <d v="2026-04-03T00:00:00Z"/>
        <d v="2026-04-05T00:00:00Z"/>
        <d v="2026-04-07T00:00:00Z"/>
        <d v="2026-04-08T00:00:00Z"/>
        <d v="2026-04-09T00:00:00Z"/>
        <d v="2026-04-11T00:00:00Z"/>
        <d v="2026-04-12T00:00:00Z"/>
        <d v="2026-04-13T00:00:00Z"/>
        <d v="2026-04-15T00:00:00Z"/>
        <d v="2026-04-18T00:00:00Z"/>
        <d v="2026-04-19T00:00:00Z"/>
        <d v="2026-04-20T00:00:00Z"/>
        <d v="2026-04-21T00:00:00Z"/>
        <d v="2026-04-22T00:00:00Z"/>
        <d v="2026-04-23T00:00:00Z"/>
        <d v="2026-04-27T00:00:00Z"/>
        <d v="2026-04-26T00:00:00Z"/>
        <d v="2026-04-28T00:00:00Z"/>
        <d v="2026-04-29T00:00:00Z"/>
        <d v="2026-04-30T00:00:00Z"/>
        <d v="2026-05-02T00:00:00Z"/>
        <d v="2026-05-21T00:00:00Z"/>
        <d v="2026-05-25T00:00:00Z"/>
        <d v="2026-05-27T00:00:00Z"/>
        <d v="2026-05-30T00:00:00Z"/>
        <d v="2026-06-04T00:00:00Z"/>
        <d v="2026-06-09T00:00:00Z"/>
        <d v="2026-06-14T00:00:00Z"/>
        <d v="2026-06-06T00:00:00Z"/>
        <d v="2026-06-07T00:00:00Z"/>
        <d v="2026-06-13T00:00:00Z"/>
        <d v="2026-06-16T00:00:00Z"/>
        <d v="2026-06-21T00:00:00Z"/>
        <d v="2026-06-27T00:00:00Z"/>
        <d v="2026-06-30T00:00:00Z"/>
        <d v="2026-07-01T00:00:00Z"/>
        <d v="2026-06-24T00:00:00Z"/>
        <d v="2026-07-03T00:00:00Z"/>
        <d v="2026-07-05T00:00:00Z"/>
        <d v="2026-07-06T00:00:00Z"/>
        <d v="2026-07-07T00:00:00Z"/>
        <d v="2026-07-16T00:00:00Z"/>
        <d v="2026-07-18T00:00:00Z"/>
        <d v="2026-07-17T00:00:00Z"/>
        <d v="2026-07-11T00:00:00Z"/>
        <d v="2026-07-19T00:00:00Z"/>
        <d v="2026-07-21T00:00:00Z"/>
        <d v="2026-07-22T00:00:00Z"/>
        <d v="2026-07-24T00:00:00Z"/>
        <d v="2026-07-29T00:00:00Z"/>
        <d v="2026-07-31T00:00:00Z"/>
        <d v="2026-08-02T00:00:00Z"/>
        <d v="2026-08-06T00:00:00Z"/>
        <d v="2026-08-14T00:00:00Z"/>
        <d v="2026-08-16T00:00:00Z"/>
        <d v="2026-08-21T00:00:00Z"/>
        <d v="2026-08-24T00:00:00Z"/>
        <d v="2026-08-23T00:00:00Z"/>
        <d v="2026-08-30T00:00:00Z"/>
        <d v="2026-08-31T00:00:00Z"/>
        <d v="2026-09-06T00:00:00Z"/>
        <d v="2026-09-07T00:00:00Z"/>
        <d v="2026-09-08T00:00:00Z"/>
        <d v="2026-09-25T00:00:00Z"/>
        <d v="2026-09-27T00:00:00Z"/>
        <d v="2026-09-30T00:00:00Z"/>
        <d v="2026-10-02T00:00:00Z"/>
        <d v="2026-10-03T00:00:00Z"/>
        <m/>
      </sharedItems>
    </cacheField>
    <cacheField name="Kegiatan" numFmtId="0">
      <sharedItems containsBlank="1">
        <m/>
        <s v="Bantu pelatihan Kepanduan"/>
        <s v="Trf Operasional"/>
        <s v="Bantuan ops dr DPD"/>
        <s v="Salurkan ke DPRa via flip (6Dpra x 2bln x 500rb)"/>
        <s v="IWB PM3252 (360rb Lusiana, 50rb nuraini, balqis, sri m, indriyani, ni'mah)"/>
        <s v="Titipan Untuk Mandiri PM3262"/>
        <s v="Beli makan malam meet DPC"/>
        <s v="titipan BMS Hendra Hidayat"/>
        <s v="Titipan ITB (7x50rb) IWB (7x50rb) Hendra Hidayat PM4101"/>
        <s v="Tambahan makan malam"/>
        <s v="Minuman meet"/>
        <s v="Rekonsil titipan untuk Matsu'i"/>
        <s v="setor bms pak Hendra Hidayat"/>
        <s v="bayarkan ITB pak Hendra"/>
        <s v="reimburse bea rapat ke Asep"/>
        <s v="reimburse makanan rapat Bu Ika"/>
        <s v="santunan lakalantas Nur Ikhwanto"/>
        <s v="Pak Hamdi titip IWAI"/>
        <s v="pemberian pinjaman Muhsinin"/>
        <s v="Reimburse konsumsi link and match dan diskusi kaderisasi"/>
        <s v="topup actionpay untuk bayarkan ITB PM3221 / PM3206"/>
        <s v="bayarkan ITB PM3221 / PM3206"/>
        <s v="terima koreksi salkir dari ZS untuk ITB dan IWB PM3221 / PM3206"/>
        <s v="reimburse konsumsi panitia musran &amp; tarhib Ramadhan"/>
        <s v="Terima titipan IWB ITB PM3203"/>
        <s v="konsumsi acara BKKD"/>
        <s v="operasional musran gabungan"/>
        <s v="konsumsi musran gabungan"/>
        <s v="reimburse konsumsi dpc 20,21 feb"/>
        <s v="topup kas 79100"/>
        <s v="topup actionpay"/>
        <s v="bayarkan ITB PM 3203"/>
        <s v="bayarkan ITB PM 3213"/>
        <s v="bayarkan ITB PM 3261"/>
        <s v="bayarkan ITB PM 3235"/>
        <s v="bayarkan ITM PM 3212"/>
        <s v="terima ITB PM 3235"/>
        <s v="Pengembalian hutang ust Muhsinin"/>
        <s v="reimburse dari reza salah bayar ITB"/>
        <s v="bayar ITB PM 3235 Jan"/>
        <s v="Bayar giat"/>
        <s v="Lebih bayar PM3203"/>
        <s v="Reimburse design kantor dan ngafe"/>
        <s v="Total IWB"/>
        <s v="Setor IWB"/>
        <s v="Kafalah Asep Irawan Feb25"/>
        <s v="Santunan Bencana Bu Tita"/>
        <s v="Spanduk Tarhib dan rapat humas"/>
        <s v="Reimburse Rapat"/>
        <s v="trf ops"/>
        <s v="setor tunai dari sertijab"/>
        <s v="Ops dari DPD"/>
        <s v="Support DPRa Mar25"/>
        <s v="Support Ramadhan DPRa"/>
        <s v="Beli AC"/>
        <s v="Support beli AC"/>
        <s v="Ops Banjir"/>
        <s v="rapat dan bukber pandu"/>
        <s v="Talangan dari Reza"/>
        <s v="Pinjaman dari Reza"/>
        <s v="Reimburse Asep"/>
        <s v="Topup"/>
        <s v="Hari bersama AlQuran"/>
        <s v="Talangan kegiatan kaderisasi"/>
        <s v="Fwd BMS Budi Susetyo"/>
        <s v="THR Kang Asep"/>
        <s v="Kiswatul Ied Aromil"/>
        <s v="Pengembalian talangan Kaderisasi"/>
        <s v="Pengembalian talangan reza 2.3jt 10 Mar"/>
        <s v="Pengembalian talangan reza 2jt 10 Mar"/>
        <s v="cetak stiker untuk depan kantor"/>
        <s v="Pengembalian pinjaman Muhsinin F"/>
        <s v="Beli Buku pak Sadulah"/>
        <s v="Sumbangan dari Kubub"/>
        <s v="Belasungkawa Ket DPC Cilodong"/>
        <s v="Bea bukber Rumah Putih"/>
        <s v="Backdrop"/>
        <s v="Tambahan kiswatul ied"/>
        <s v="Lebih Bayar PM3241"/>
        <s v="Ops ke Rek Reza"/>
        <s v="PEngembalian salkir Pak Ali"/>
        <s v="Beli wireless mic"/>
        <s v="setor IWB ke DPD"/>
        <s v="ifthor panziswaf 23-24, angkut paket dari Bang Kholid"/>
        <s v="Pengembalian salkir Pak Ali ke Bend Grup"/>
        <s v="salkir infaq plstina"/>
        <s v="koreksi salkir"/>
        <s v="??"/>
        <s v="ops panitia ziswaf"/>
        <s v="kafalah bulanan Asep"/>
        <s v="reimburse ifthor panziswaf, iuran bulanan 200rb, wifi 277rb"/>
        <s v="konsumsi pandu bantuan banjir ust Anwar"/>
        <s v="Rapat DPC &amp; panitia halbil &#10;&#10;- semangka                     67 rb&#10;- keruk                              47 rb&#10;- anggur                           70 rb&#10;- martabak telor @2      74 rb&#10;- martabak manis @2   70 rb&#10;- air mineral                     18 rb&#10;- keri"/>
        <s v="Rapat tim survey &amp; ifthor &#10;- jus                               96 rb&#10;- snack                          80 rb&#10;- kebuli kambing       260 rb&#10;- tisu                              10 rb"/>
        <s v="Pendirian yayasan"/>
        <s v="Indomaret                           95 rb&#10;Batrai alkaline&#10;Kamper toilet&#10;&#10;Galon dan air                     40 rb&#10;Gelas kertas &amp; kopi        126 rb"/>
        <s v="Meja laptop"/>
        <s v="Konsumsi pra raker&#10;- snack  30 @10           300 rb&#10;- jus 30                           330 rb&#10;- nasbox padang          697 rb&#10;- air 2 dus + botol           68 rb&#10;- tisu                                  15 rb"/>
        <s v="Perbaikan atas bocor &#10;Polingkut                 151 rb&#10;Tukang                     200 rb"/>
        <s v="Santunan sakit Mardi dan suami Bu Rini"/>
        <s v="Reimburse giat 13-20 apr"/>
        <s v="Refund kelebihan trf Sutrisno"/>
        <s v="Tunjangan DPRa Mar25"/>
        <s v="Konsumsi rapat DPC"/>
        <s v="DP biaya panitia halbil"/>
        <s v="Topup Rek DPC Reza"/>
        <s v="pengeluaran DPC bulan April 2025&#10;&#10;&#10;Pulsa Listrik DPC   500 rb&#10;Stok air botol bisto 4&#10;Gelas 1                    125 rb &#10;Otomatis Radar        85 rb&#10;Tukang pasang      100 rb &#10;&#10;&#10;Total                         810 rb"/>
        <s v="Support H Kholid"/>
        <s v="Bantuan bunda Elly"/>
        <s v="Rapat panitia HBH DPC.. &#10;- snack                           150 rb&#10;- semangka                     65 rb&#10;- salak                               25 rb&#10;- jeruk                               60 rb &#10;- tisu 2                              24 rb&#10;- kopi²            "/>
        <s v="4 Mei 2025&#10;&#10;Iyuran wajib                     200 rb&#10;Lampu bolham                105 rb&#10;Total                                  664 rb"/>
        <s v="besuk ust Anwar"/>
        <s v="Internet"/>
        <s v="apresiasi 2 grup UPA yg lolos proposal pemberdayaan dari pokir pa Hafid @ 350k "/>
        <s v="Sumbangan konsumsi HBH"/>
        <s v="Besuk pak Baron"/>
        <s v="IWB PM4106"/>
        <s v="Rapat persiapan BPH dpc panitia HBH&#10;- martabak manis 2    60 rb&#10;- martabak telor    2    70 rb&#10;- jus                              170 rb&#10;- makmal                     125 rb"/>
        <s v="Perbaikan Kursi Roda"/>
        <s v="ops Halbil"/>
        <s v="parcel buah besuk"/>
        <s v="Taawun ranap Verdian"/>
        <s v="Admin urus kunci apartemen"/>
        <s v="Reimburse DP resto pembubaran panitia halbil"/>
        <s v="Konsumsi meetup humas"/>
        <s v="Amplop apresiasi pembubaran panitia halbil"/>
        <s v="pembubaran panitia halbil"/>
        <s v="Nikahan anak Nurabadi"/>
        <s v="Rapat presentasi hasil survey&#10;BPH DPC - DPRa - kabid&#10;&#10;- Snack                           167 rb&#10;- Ongkir                             20 rb&#10;- Jus                               285 rb&#10;- Ongkir                            15 rb&#10;- Air mineral moboto     46 rb"/>
        <s v="Rapat BPH - tim enterpreneur &#10;- snack                           110 rb&#10;- anggur                            75 rb&#10;- pisang                            18 rb&#10;- jeru                                  47 rb &#10;- kopi²                               74 rb&#10;- maksi  "/>
        <s v="Rapat BPH DPC - BK&#10;- martabak T  2               70 rb&#10;- martabak M                  35 rb&#10;- kripik slondok               16 rb &#10;- keripik singkong             8 rb&#10;- anggur                            75 rb&#10;- salak                               13 rb&#10;- je"/>
        <s v="PBB DPC"/>
        <s v="Beli meja kafe"/>
        <s v="Indomaret&#10;- kamper                           55 rb&#10;&#10;&#10;Rapat DPC - DPRa&#10;- GO-JEK                          20 rb&#10;Pinjam LCD DPD&#10;&#10;Batu mic alkaline              36 rb&#10;Indomaret                           54 rb&#10;- Kamper toilet &#10;&#10;Lazada                          "/>
        <s v="Konsumsi pra raker"/>
        <s v="kopi sevel raker"/>
        <s v="token listrik"/>
        <s v="duplikat kunci"/>
        <s v="Ops pembagian BKKD&#10;Konsumsi&#10;7000× 35= 245.000&#10;Cetak yys= 12.000&#10;2 pack Amplop = 60.000&#10;Operasional =150.000&#10;&#10;Total 467.000"/>
        <s v="Rapat tim pa baron BK &amp; tim PKS muda&#10;&#10;- snack                          120 rb&#10;- buah² an                     160 rb&#10;- tisu                                 10 rb&#10;- air botol                         23 rb&#10;- kopi²                               25 rb&#10;&#10;Indomar"/>
        <s v="Bayar IWB"/>
        <s v="Rapat BK&#10;- snack                           120 rb&#10;- jeruk                               47 rb&#10;- nanggis                         35 rb&#10;- anggur                           75 rb&#10;- air botol                         21 rb&#10;( acc pa ilham  )"/>
        <s v="tunjangan ops dari DPD"/>
        <s v="- iyuran wajib                200 rb&#10;- internet DPC               278 rb"/>
        <s v="Rapat tim Panitia lomba skripsi &#10;&#10;- snack                           120 rb&#10;- buah² an                      154 rb&#10;- air mineral                     20 rb&#10;- kopi²                               45 rb&#10;- maksi                           150 rb&#10;( Acc pa ilham  "/>
        <s v="tunjangan ops 6 DPRa Mei 25"/>
        <s v="ops BMS"/>
        <s v="Rapat DPC&#10;martabak&#10;-  manis Dan telor       55 rb                    &#10;- buah² an                  150 rb&#10;&#10;&#10;Stok air botol   3            60 rb&#10;&#10;&#10;Total                              265 rb"/>
        <s v="Biaya Qurban Nurabadi"/>
        <s v="Kekurangan biaya Qurban Nurabadi"/>
        <s v="Kekurangan reimburse"/>
        <s v="Beli&#10;- mejikom Sharp           357 rb &#10;- kompor rinai               291 rb&#10;( CC pa ilham  ) "/>
        <s v="Rapat BPH DPC Dan Bidang-bidang&#10;- martabak telor            35 rb&#10;- martabak manis         30 rb&#10;- buah² an                     152 rb&#10;- soto daging  ( free ) &#10;- pecel ayam 4               80 rb&#10;- stok air 3                      69 rb"/>
        <s v="Reimbuse rapat 3 Jun"/>
        <s v="- parcesl buah               200 rb  &#10;( pa IBH ka DPD  )"/>
        <s v="Colokan + kombinasi       86 rb&#10;( rakit sendiri  )"/>
        <s v="Beli hape ops Siape Aje"/>
        <s v="Support rihlah KSN"/>
        <s v="Raker DPC - DPRa para seksi&#10;- snack                           320 rb&#10;- buah- buahan             310 rb&#10;- tisu 3                              26 rb  &#10;- tusuk sate                     15 rb&#10;- tomat                   .         10 rb&#10;- cabe                   "/>
        <s v="Stok air 10                        200 rb&#10;(  pa nasrul ) "/>
        <s v="Pinjaman Sekr Dejay utk Suhendi"/>
        <s v="talangan giat pelatihan khotib"/>
        <s v="beli 4 kursi"/>
        <s v="Biaya masak rakercab&#10;Bumbu+ perlengkapan 200.000&#10;Buras 30=300.000&#10;Ongkos masak 150.000&#10;Ongkir 30.000&#10;Total 680.000"/>
        <s v="beli air cleo 10"/>
        <s v="bea kopi rakercab"/>
        <s v="Rapat tim panitia lomba Sekripsi &#10;- snack                           120 rb&#10;- buah² an                      150 rb"/>
        <s v="Reses bang kholid&#10;Tambah jus                      170 rb&#10;( pa veridan  ) "/>
        <s v="beli pemanas air minum"/>
        <s v="23 - juni 2025&#10;Listrik                                     200 rb&#10;Santunan yatim (lingkungan) 100 rb&#10;&#10;Total                         300 rb"/>
        <s v="reimburse cleo Asep"/>
        <s v="Reimburse asep 21 Jun 2025"/>
        <s v="Ambulans anak pak Kamal"/>
        <s v="Sumbangan reses Bang Kholid"/>
        <s v="Konsumsi rapat sie kepanduan"/>
        <s v="IWB"/>
        <s v="ops Kesos"/>
        <s v="Taawun M Kamal n Ridwan Zul"/>
        <s v="Kafalah bulanan"/>
        <s v="Reimburse Asep 23 Jun 3 Jul"/>
        <s v="Iuran wajib perumahan"/>
        <s v="6 Juli 2025&#10;&#10;Rapat kabid &amp; BPH DPC&#10;Pempek         ( pa ilham  )&#10;+ timun &amp; mie                     17 k&#10;Jus                                     126 k&#10;Ongkir                                  17 k&#10;Tisu 3                                   20 k&#10;  &#10;Stok kopi   "/>
        <s v="Belanja indomaret            67 k&#10;- kamper toilet &#10;- pewangi ruangan&#10;- prostex toilet"/>
        <s v="Rapat SPKK - UPKK&#10;Konsumsi bu ika              300 k"/>
        <s v="7 juni 2025&#10;Rapat koordinasi &#10;Pematangan renovasi &#10;Dan operasional cafe&#10;- pa verdian&#10;- pa Faisal&#10;- pa agus&#10;- pa Gunawan&#10;- Asep &#10;Makai pecel ayam            150 k"/>
        <s v="Reimburse Asep 6-7 Jul 2025"/>
        <s v="Tunjangan ops DPC DPRa"/>
        <s v="Distribusi Tunjangan"/>
        <s v="Pelatihan video dan AI"/>
        <s v="Topup ops"/>
        <s v="Ops SPKK"/>
        <s v="Taawun Bu Zubaika"/>
        <s v="Bayar Internet"/>
        <s v="Tambah buffer Asep"/>
        <s v="Topup Asep"/>
        <s v="Support Majelis Pembinaan Anak"/>
        <s v="Tunjangan Ops"/>
        <s v="Beli Gas 3kg"/>
        <s v="Konsumsi"/>
        <s v="Tunjangan dari Bu Iin"/>
        <s v="Rapat bidang BPJE &amp; Ka DPC... &#10;Mie ayam bakso               102 k&#10;Kelapa muda                       72 k"/>
        <s v="Cicilan Hutang"/>
        <s v="Dana hibah"/>
        <s v="Pulsa listrik DPC               203 k"/>
        <s v="Onglos senam 27 Jul"/>
        <s v="Rapat bidang pertanian &amp; ka DPC &#10;Kelap bulat                           72 k&#10;Snack                                    45 k"/>
        <s v="Rekap penerimaan IWB 30Jun-26Jul"/>
        <s v="Setor IWB "/>
        <s v="Rapat gabungan persiapan &#10;Senam &amp; reses pa Hafid&#10;- snack                               80 k &#10;- buah² an                          97 k&#10;- tisu  2                               24 k&#10;- kelapa bulat                    84 k"/>
        <s v="Rapat warung siaPe aJE&#10;Snack                                  40 k&#10;Makan Malam                   105 k&#10;Stok tisu  2                          24 k"/>
        <s v="Agenda senam.. &#10;Pengamanan dan parkiran perumahan &#10;Security perumahan 2 orang dan security ruko 2 orang&#10;Masing-masing 50 k        200 k&#10;(  Acc pa ilham  ) "/>
        <s v="Tambahan makan siang padang 13 @18 k  234 k&#10;&#10;(  cc pa ilham  )"/>
        <s v="Reimburse Asep 19-27 Jul"/>
        <s v="Program Tani DPC"/>
        <s v="Studi banding prokim 750rb. lebih bayar"/>
        <s v="Uang duka laka Cimanggis"/>
        <s v="Listrik DPC                         203 k&#10;Stok air Cleo 10                200 k"/>
        <s v="Kafalah instruktur senam"/>
        <s v="Kafalah tim support senam"/>
        <s v="Rapat ka DPC - para pembimbing... &#10;Siomay &amp; es oyen            234 k"/>
        <s v="Teruskan titipan donasi Palestina ke ZS"/>
        <s v="Pengembalian lebih bayar Prokim"/>
        <s v="Ateker AC satu set             78 k&#10;Teknisi                                150 k "/>
        <s v="Iyuran wajib                       200 k"/>
        <s v="Internet DPC                     333 k"/>
        <s v="Transpor giat ke Bogor"/>
        <s v="Perbaikan arus listrik yang konslet &#10;&#10;Belanja NCB dll        315 k&#10;Jasa teknisi              150 k"/>
        <s v="Kafalah Asep"/>
        <s v="Reimburse Asep 29 Jul-3 Aug"/>
        <s v="Tunj Ops DPC DPRa Jul25"/>
        <s v="Tunj Ops DPRa Jul25"/>
        <s v="Reimburse SiapeAje Cafe"/>
        <s v="Tunj Ops Aleg"/>
        <s v="Tunj Ops DPC DPRa Aug25"/>
        <s v="Tunj Ops DPRa Aug25"/>
        <s v="Taawun orangtua Joko Sugiyarto"/>
        <s v="dana untuk modal bazaar CFD"/>
        <s v="Pinjaman pelunasan hutang Mustopa"/>
        <s v="- ambil kulkas ke cibubur &#10;BBM                             50 k&#10;- pulsa listrik          203 k&#10;- radar otomatis      80 k&#10;- jasa tukang         100 k&#10;- keran wastafel      60 k&#10;- siltif                           5 k"/>
        <s v="Santunan walimah anak Pak Mardi"/>
        <s v="Stok air Cleo 10                200 k&#10;Duplikat kunci 3                  45 k&#10;&#10;Pulsa Listrik                      200 k "/>
        <s v="Bea lomba review makanan warung"/>
        <s v="Topup kas SPKK"/>
        <s v="salah kirim reimburse ke Asep"/>
        <s v="pengembalian dari Asep"/>
        <s v="reimburse infra"/>
        <s v="Santunan sakit Yosep Duriat"/>
        <s v="perbaikan listrik&#10;Rincian pekerja &#10;1. Saklar seri Rp. 18.000&#10;2. Saklar triple Rp. 25.000&#10;3. Kamper Rp. 27.500&#10;4. Tenaga Rp. 150.000&#10;&#10;Total  Rp. 220.500"/>
        <s v="Beli 150 buku&#10;&#10;(6 bulan gak habis bisa dikembalikan)"/>
        <s v="Pengembalian talangan"/>
        <s v="Talangan giat studium generale"/>
        <s v="Rapat BPH DPC - Spje - tim warung &#10;Kelapa bulat 5                     75 k&#10;Snack                                  45 k&#10;Pecel lele                             95 k"/>
        <s v="ops pandu Sep25"/>
        <s v="Iyuran wajib                       200 k    &#10;Internet                              338 k"/>
        <s v="ops humas"/>
        <s v="talangan bedah buku"/>
        <s v="Honor Bulanan Asep"/>
        <s v="Pulsa listrik              203 k"/>
        <s v="Stok air Cleo  10      200 k"/>
        <s v="Splitter                         95 k"/>
        <s v="Rapat BPH DPC - BK&#10;Bu angga, pa hamdi, ust Adriana &#10;- jus nusantara      169 k&#10;- makmal                100 k&#10;- martabak                88 k&#10;- buah2 an              100 k"/>
        <s v="honor pengamanan kantor"/>
        <s v="Pengumuman pemenang  lomba UMKM (  humas  ) &#10;- batrai alkaline      83 k"/>
        <s v="reimburse pengeluaran Asep"/>
        <s v="santunan uang duka wafatnya Yosep Duriat"/>
        <s v="28 aug snack acara Pak Imam 350k, 23 Aug 157k, 3 Sep 70k, 4 Sep 216k"/>
        <s v="konsumsi giat SPJE 10 Sep"/>
        <s v="beli bahan bangunan kantor dpc"/>
        <s v="tunj ops Kesos"/>
        <s v="Rihlah Ilham n istri bersama SPKK"/>
        <s v="tunj Ops Humas"/>
        <s v="pengembalian bedah buku + profit"/>
        <s v="konsumsi rapat 16 Sep&#10;BPH 146rb&#10;Bid Tani 113rb"/>
        <s v="Perbaikan kantor"/>
        <s v="Ops DPC DPRa Sep 25"/>
        <s v="Ops DPRa Sep 25"/>
        <s v="Konsumsi rapat BPH"/>
        <s v="Ops Kesos Okt25"/>
        <s v="Taawun ust Khozin"/>
        <s v="Taawun ambulans Bu Hartati"/>
        <s v="Ops Humas Okt 25, 250k&#10;Bantu perpanjang Capcut, 350k"/>
        <s v="Taawun pengobatan anak Verdian"/>
        <s v="Sewa bus"/>
        <s v="Maksi giat SPJE 8 Okt"/>
        <s v="Perbaikan mesin air kantor"/>
        <s v="Perbaikan listrik kantor"/>
        <s v="Ops sie SPKK"/>
        <s v="Bayar PLN ganti meter"/>
        <s v="Bayar PLN Lagi"/>
        <s v="Total IWB belum di-approve"/>
        <s v="Tunj Ops dari DPD"/>
        <s v="Setor IWB Okt 25"/>
        <s v="Pengembalian dana Poktan"/>
        <s v="Tunj Ops ke DPRa"/>
        <s v="Laporan bulan Oktober 2025&#10;&#10;listrik DPC                        203 k&#10;Ayam penyet      &#10;( tukang  )                           18 k&#10;Ayam penyet dan kopi&#10;( p kosim PLN)                   23 k&#10;Teknisi PLN                         50 k&#10;( acc pa ilham) "/>
        <s v="Konsumsi giat kepanduan 26Okt"/>
        <s v="Laporan bulan Oktober 2025&#10;&#10;Rpat 2 kali &#10;BPH, poktan, yaysan&#10;Sekertariatan                    220 k&#10;"/>
        <s v="kirim lagi data Poktan"/>
        <s v="Tunjangan Aleg"/>
        <s v="25 okt 2025&#10;&#10;Rapat, BPH DPC, spje, kepemudaan, tamu pengusaha Turki &#10;&#10;Warung siape Aje    344.000"/>
        <s v="ongkos material gedung DPC"/>
        <s v="reimburse konsumsi"/>
        <s v="Pinjaman bea operasi Falih"/>
        <s v="ops sie Kesos Nov25"/>
        <s v="Taawun anak Ilham 350"/>
        <s v="Taawun Mahmudin"/>
        <s v="Kena titipan ITB dll PM3204"/>
        <s v="Konsumsi Raker"/>
        <s v="Utk Bu Ika, diskresi Ka Dpc"/>
        <s v="reimburse Konsumsi Raker 2Nov"/>
        <s v="Lalamov hampres            130 k&#10;( ZS ke DPC  ) "/>
        <s v="Pinjaman Pak Sadullah"/>
        <s v="perbaikan gedung dpc"/>
        <s v="Ops Humas Nov25"/>
        <s v="Rapat &#10;Bidang : BPH DPC, pa Baron &amp; pa husnajat &#10;Warung siape aje             113 k&#10;&#10;Rapat&#10;Bidang : kesekertariatan &#10;Makan, pecel lele               60 k&#10;"/>
        <s v="Pengembalian Pinjaman Sadullah"/>
        <s v="Listrik DPC"/>
        <s v="bea tim sekuriti giat Madya"/>
        <s v="Rapat BPH dan ketua RT 04/19&#10;&#10;- nasi goreng 4            60 k&#10;- susu jahe                   32 k&#10;- snack                          45 k&#10;&#10;Bekel pa rt  ( di bawa ke rumah  ) &#10;- Beras                         72  k &#10;- indomie                      18 k&#10;( arahan"/>
        <s v="Rapat pa ilham dan tamu &#10;Warung siape aje           84 k"/>
        <s v="Kirim balik titipan ITB dll PM3204"/>
        <s v="Total penerimaan IWB 20Okt-20Nov"/>
        <s v="Setor IWB 20Okt-20Nov"/>
        <s v="Pulsa listrik dpc"/>
        <s v="Rapat BPH - tim koprasi DPD &#10;- warung siape aje        118 k&#10;- rebusan                          20 k&#10;- semangka                      30 k&#10;- pisang                             20 k&#10;- salak                               15 k"/>
        <s v="Beri pinjaman ke Verdian"/>
        <s v="Terima Tunj Ops dari DPD"/>
        <s v="Trf Tunj Ops ke 6 DPRa"/>
        <s v="Rpat BPH DPC, pada pengurus DPC &#10;&#10;Warung siape aje      215 k"/>
        <s v="duplikat kunci Faisal"/>
        <s v="Kapur ajaib"/>
        <s v="Rapat tim Spje, p ilham&#10;Warung siape aje     86 k"/>
        <s v="Ops Kepanduan Nov 25"/>
        <s v="Ops SPKK Nov 25"/>
        <s v="Talangan kegiatan"/>
        <s v="Ops Kesos Des25"/>
        <s v="Iyuran wajib  des     200 k&#10;Internet dpc              338 k"/>
        <s v="Pa ilham &#10;Warung siape aje      37 k"/>
        <s v="Bayarkan ITB PM3206 Jun, Agus"/>
        <s v="Bayarkan ITB PM3206 Mei"/>
        <s v="Transport ke rumah Tony"/>
        <s v="Kafalah"/>
        <s v="Konsumsi panitia parenting"/>
        <s v="Ops Humas Des25"/>
        <s v="Total penerimaan IWB 20Nov-20Dec"/>
        <s v="Setor IWB 20Nov-20Dec"/>
        <s v="konsumsi penerimaan SK PIP"/>
        <s v="Lalamov air bisto            129 k"/>
        <s v="Lalamov karpet                100 k&#10;Loundry  karpet                500 k"/>
        <s v="Rapat BPH DPC + pembimbing utama &#10;&#10;Nasi box padang              220 k&#10;Jus                                      183 k&#10;Warung siape aje             173 k"/>
        <s v="Refund salah kirim PM3206"/>
        <s v="25 des 2025&#10;&#10;Rapat koordinasi &#10;pa ilham, pa pulung , tamu&#10;&#10;Kopi sevel  3               21 k&#10;Singkong                     10 k&#10;Piscok                          10 k&#10;Pecel lele                    70 k&#10;&#10;Stok tisu 2                  24 k &#10;&#10;Total               "/>
        <s v="Ke Faisal Hakim"/>
        <s v="Bea giat olga"/>
        <s v="Koreksi Salkir PM3206"/>
        <s v="- iyuran wajib     200 k&#10;- internet DPC    338 k"/>
        <s v="reimburse Iuran"/>
        <s v="Bidang : BPH DPC + BKAP &#10;- siomay bandung  85 k&#10;- mie ayam               24 k&#10;- martabak               63 k"/>
        <s v="Rapat &#10;Bidang  : BKAP &#10;- snack                    100 k&#10;- kopi                         60 k"/>
        <s v="Rapat &#10;Bidang : BPH DPC + ka seksi ka dpra&#10;- snack                   200 k&#10;- jeruk  3 kg              90 k &#10;- salak 3 kg              45 k&#10;- kopi sevel            150 k (reimburse prbd)"/>
        <s v="Rapat &#10;Bidang : BPH DPC + ka seksi ka dpra&#10;Poto copy &#10;- 8 program              44 k"/>
        <s v="Rapat BPH DPC - DPRa para seksi BPPN DPD&#10;&#10;- snack  30 @10    300 k&#10;- kopi                         26 k&#10;- tisu 2                       24 k&#10;&#10;Total                           350 k"/>
        <s v="Konsumsi temu DPC pembina"/>
        <s v="Reimburse konsumsi 16 Jan"/>
        <s v="Pengamanan temu DPC pembina 18 Jan"/>
        <s v="Sumbangan Rakercab"/>
        <s v="Topup ActionPay Momon"/>
        <s v="Bayar ITB PM3210 ??x??org"/>
        <s v="Bayar ITB PM3206 2x8org"/>
        <s v="Topup Reza"/>
        <s v="Giat persiapan masuk kuliah"/>
        <s v="Cicilan Hutang Suhendi"/>
        <s v="Rapat panitia rakercab &#10;- sncak                           130 k&#10;- indomie telor              140 k&#10;&#10;Belanja indomaret            90 k&#10;Tisu dan kamper toilet &#10;&#10;Air biru 2 galon                  18 k"/>
        <s v="Reimburse Rapat Rakercab"/>
        <s v="Panitia rakercab"/>
        <s v="Pengembalian pinjaman Verdian"/>
        <s v="Pengeluaran Rutin DPC"/>
        <s v="Kafalah Feb26"/>
        <s v="Donasi rakercab"/>
        <s v="Tambahan giat Rakercab"/>
        <s v="Bayar ITB PM3209 5 orang x 3 bulan"/>
        <s v="Support kegiatan DPRa Mampang"/>
        <s v="Konsumsi buah rakercab"/>
        <s v="Tambahan konsumsi rakercab"/>
        <s v="Pinjaman ust Muhsin Soleh"/>
        <s v="Reimburse tambahan Rakercab"/>
        <s v="Tunj Ops utk DPRA"/>
        <s v="Salah kirim BMS"/>
        <s v="Konsumsi rapat Coffee E&amp;S"/>
        <s v="Koreksi Salkir Efa Afifa"/>
        <s v="Transport komdigi ke DPD"/>
        <s v="Kafalah Mar26"/>
        <s v="Perbaikan listrik ( konslet) ganti NCB &#10;Teknisi dan ncb"/>
        <s v="Internet DPC"/>
        <s v="Takjil on the Road DPRa Depok"/>
        <s v="Lalamov paket aromil"/>
        <s v="Kekurangan kopi             390 k&#10;  ( bu ika minta ke dpc  )"/>
        <s v="Iyuran wajib (ada kenaikan 50k)"/>
        <s v="Giat ramadhan Panjaru"/>
        <s v="dukungan Musabaqah Hifzhil Quran"/>
        <s v="THR Security 3 orang"/>
        <s v="Pengambilan paket sembako Bang Kholid dari dpd &#10;- lalamov                        100 k&#10;- tenaga 3                       300 k"/>
        <s v="Pengambilan paket sembako Bang Kholid dari dpd &#10;- lalamov                        150 k&#10;- tenaga 3                       300 k"/>
        <s v="pengembalian salkir BMS Nila"/>
        <s v="salah teruskan BMS Nila"/>
        <s v="Bea canvassing 6 DPRa"/>
        <s v="Pinjam uang Reza karena buru2"/>
        <s v="pengembalian lebih bayar PM3213"/>
        <s v="Pengeluaran ops panziswaf"/>
        <s v="refund salah kirim BMS Nila"/>
        <s v="Apresiasi keaktifan bbrp pengurus"/>
        <s v="Pengembalian bea canvassing"/>
        <s v="Pengembalian Pinjaman dari Reza"/>
        <s v="Reimburse Asep ops"/>
        <s v="Salkir BMS Bu Dini PM3216"/>
        <s v="Penerimaan IWB"/>
        <s v="Tunj Ops BPH"/>
        <s v="Teruskan BMS Bu Dini PM3216"/>
        <s v="Reza pinjam "/>
        <s v="- iyuran wajib                 250 k"/>
        <s v="- PBB                               366 k"/>
        <s v="Reimburse Pengeluaran Rutin"/>
        <s v="Konsumsi rapat kabid DPC"/>
        <s v="Kembali pinjaman bea operasi Falih"/>
        <s v="Konsumsi BPH"/>
        <s v="reimburse konsumsi dan listrik"/>
        <s v="infaq"/>
        <s v="Konsumsi Halbil"/>
        <s v="*Laporan pengeluaran*&#10;&#10;*12 april 2026*&#10;HBH DPC - DPRa - pembimbing&#10;&#10; &#10;- nasbox     ( pak h ali ) &#10;- pisang                          150 k&#10;- salak                             100 k&#10;- jeruk santang              250 k&#10;&#10;Tisu        3                          "/>
        <s v="listrik"/>
        <s v="kamper toilet pewangi"/>
        <s v="kafalah pandu"/>
        <s v="Apresiasi untuk grup dan pembina berprestasi"/>
        <s v="Pdaftaran pelatihan Hilmi Zuhdi"/>
        <s v="Reimburse halbil"/>
        <s v="Rapat BPH - tim pa Amri &#10;- martabak                   63 k&#10;- buah² an                  135 k&#10;- makan malam          85 k"/>
        <s v="Rapat &#10;Bidang : BKAP &amp; kepemudaan &#10;- jus                          84 k&#10;- siomay                105 k &#10;- air Cleo botol        20 k"/>
        <s v="Rapat &#10;Bidang : BKAP + P2 UPA&#10;Snack  :                 180 k&#10;Air Cleo botol         20 k&#10;Pisan                       45 k"/>
        <s v="Reimburse Konsumsi Rapat 15-19 Apr"/>
        <s v="Tunj Ops DPD"/>
        <s v="Tunj Ops DPRa"/>
        <s v="Rekap IWB"/>
        <s v="Tunj ops Ka DPC"/>
        <s v="Tunj ops Sekr DPC"/>
        <s v="Tunj ops Bend DPC"/>
        <s v="Taawun anak Verdian"/>
        <s v="Talangan kegiatan sekolah digital"/>
        <s v="Rekap Infaq"/>
        <s v="Rekap bank"/>
        <s v="Reza kembalikan pinjaman"/>
        <s v="Kembalikan pinjaman ke Reza"/>
        <s v="Tambahan talangan Sekolah digital"/>
        <s v="PLN"/>
        <s v="Rapat BPH DPC&#10;Jus                            104 k&#10;Siomay                     112 k&#10;Air mineral botol       20 k"/>
        <s v="Reimburse Listrik + rapat 26 apr"/>
        <s v="Transpor untuk pemikat hati"/>
        <s v="Beli langganan Zoom"/>
        <s v="Terima Trf Sekolah Digital"/>
        <s v="Penuntasan Sekolah Digital"/>
        <s v="Talent Mapping"/>
        <s v="Tunj ops bulanan"/>
        <s v="Bea panitia qurban"/>
        <s v="Reward konten qurban"/>
        <s v="Reimburse Asep Mei"/>
        <s v="Transport besuk anak Efa Komdigi"/>
        <s v="Uang Duka Sri Utari"/>
        <s v="Bea prakembara"/>
        <s v="Stok air Cleo                       60 k"/>
        <s v="Rapat BKBN&#10;- snack &amp; kopi                 70 k"/>
        <s v="Rapat tim kepanduan&#10;&#10;Ayam pecel lele               315 k&#10;Kopi seduh                         40 k "/>
        <s v="Rapat pa ketua dengan tamu &#10;Siomay                                79 k&#10;Jus                                       78 k"/>
        <s v="Rapat BPH             &#10;Jus                                     144 k&#10;Siomay                              158 k"/>
        <s v="Stok air Cleo                      42 k&#10;Tisu 2                                  22 k"/>
        <s v="Tambahan konsusmi rapat gabungan dengan tim komdigi&#10;  &#10;Jus 10  @12                      : 120 k   &#10;Bu juarti pecel ayam  :       : 23 k&#10;&#10;Warung dpc &#10;Indomie 8 @12                   : 96 k&#10;Kentang 16 @ 2, 500        :  40 k    &#10;Comro 16 @2, 500            "/>
        <s v="Rapat BPH - DPRa - gabungan &#10;&#10;Snack                       225 k&#10;Kopi seduh 10 @5   50 k&#10;Indomie  5 @12        50 k&#10;Air Cleo  2                  40 k&#10;&#10;Total                         365 k"/>
        <s v="Tambahan Nasi Padang"/>
        <s v="Kegiatan Bipeka"/>
        <s v="Reimburse "/>
        <s v="Ops BPH"/>
        <s v="Infaq DPC"/>
        <s v="Public Speaking"/>
        <s v="Ngamprah Mampang"/>
        <s v="Beli pulsa hape"/>
        <s v="Kafalah Jul26"/>
        <s v="Rapat Komdigi&#10;&#10;Air botol                              39 k &#10;pembicara&#10;- nasbox                           23 k&#10;Panitia &#10;Es milo 3                            21 k&#10;Es teh tarik 3                     21 k&#10;Indomie rebus 6               72 k&#10;Roti bakar  3      "/>
        <s v="Rapat BPH&#10;&#10;Semangka                          53 k&#10;Salak                                    25 k&#10;Pisang                                 35 k&#10;Di warung&#10;- indomie goreng 4         48 k&#10;- indomie rebus 1           12 k&#10;- roti bakar  2                   20 k&#10;-"/>
        <s v="Rapat , bimbel ( pa hamdi ) &#10;Snack plus air 25 @12   300 k"/>
        <s v="Iuran wajib ruko"/>
        <s v="Hape Komdigi"/>
        <s v="Donasi Harganas"/>
        <s v="Unknown"/>
        <s v="Giat Harganas"/>
        <s v="Rapat &#10;Bidang : BKAP ( ust agung  ) &#10;Snack                           99 k&#10;Siomay                      240 k&#10;Tisu                              12 k&#10;Air mineral                  17 k&#10;Kopi tuku  ( bayar sendiri  )"/>
        <s v="bensin giat bipeka"/>
        <s v="urban farming"/>
        <s v="Stok Air Cleo"/>
        <s v="Rapat pak ketua, tamu &#10;- siomay               60 k&#10;- jus                       36 k"/>
        <s v="- iyurian wajib    250 k&#10;- internet DPC   335 k"/>
        <s v="Rapat gabungan&#10;Buah² an               185 k&#10;- jeruk &#10;- salak&#10;- pisang &#10;- anggur &#10;- semangaka&#10;air Cleo   2              44  k&#10;Tisu                          11 k"/>
        <s v="Rapat BPH DPC - LPK mina kazoku&#10;- martabak manis &amp; telor     58 k&#10;- aneka jus                              84 k&#10;- air celo                                  22 k"/>
        <s v="Rapat BPH DPC - para seksi&#10;- siomay                                216 k&#10;- jus                                        136 k&#10;- tisu                                         12 k&#10;- air Cleo                                  22 k"/>
        <s v="Kegiatan 25 Ag"/>
        <s v="Pilox buat Cat"/>
        <s v="Rapat BPH DPC - para seksi &#10;- snack                     150 k&#10;- jus                           176 k&#10;- maksi                     222 k&#10;- air Cleo                     20 k&#10;- tisu                            10 k"/>
        <s v="- batrai                        45 k&#10;Mic &amp; remot Ac"/>
        <s v="Kosongkan Rek Donasi"/>
        <s v="Rapat &#10;Bidang : komdigi ( pelatihan ditital IA BPH dan pengurus seksi, komdigi DPRa  ) &#10;- snack box 25 @15 k   375 k&#10;- air mineral                      20 k"/>
        <s v="Rapat &#10;Bidang : Kesos ( bu juarti para panita,dokter ) &#10;- Sncak                             45 k&#10;- jus                                   54 k&#10;- tisu                                 12 k&#10;- air mineral                     20 k&#10;- mie ayam bakso          75 k"/>
        <s v="Listrik DPC                       103 k"/>
        <s v="Iyuran wajib ruko            250 k"/>
        <s v="Internet DPC                    335 k"/>
        <s v="pelatihan AI dan lomba video"/>
        <s v="Tunj Ops"/>
        <s v="Olahraga"/>
        <s v="Ops DPRa Sep26"/>
        <s v="Rekap Setor IWB"/>
        <s v="Total NTT"/>
        <s v="Setor NTT"/>
        <s v="Topup Rekening Reza"/>
        <s v="Talangan pra latansa"/>
      </sharedItems>
    </cacheField>
    <cacheField name="Grup" numFmtId="0">
      <sharedItems containsBlank="1">
        <m/>
        <s v="Winarto"/>
        <s v="DPD"/>
        <s v="DPRa"/>
        <s v="PM3252"/>
        <s v="PM3262"/>
        <s v="Hendra H"/>
        <s v="ZS"/>
        <s v="Reza"/>
        <s v="Asep"/>
        <s v="PM4103?"/>
        <s v="Muhsinin Fauzi"/>
        <s v="Verdian"/>
        <s v="PM3221"/>
        <s v="PM3203"/>
        <s v="PM3213"/>
        <s v="PM3261"/>
        <s v="PM3235"/>
        <s v="PM3212"/>
        <s v="Yayasan Teras Quran"/>
        <s v="Nurul Ikhwat"/>
        <s v="Ilham"/>
        <s v="PARA UPA"/>
        <s v="Asep Irawan"/>
        <s v="Tita Fatimah"/>
        <s v="Efa Bagus"/>
        <s v="Kartikasari"/>
        <s v="matsui"/>
        <s v="Imam Musanto"/>
        <s v="Khairul Umam"/>
        <s v="Katrina"/>
        <s v="Kaderisasi"/>
        <s v="Efaningsih"/>
        <s v="Sadullah"/>
        <s v="Kubub"/>
        <s v="PM3241"/>
        <s v="PM4107"/>
        <s v="Anis Anisya 3251"/>
        <s v="??"/>
        <s v="Munawir Sajali"/>
        <s v="Daeng Akbar"/>
        <s v="Ihda Husnayain"/>
        <s v="Bang Kholid"/>
        <s v="Elly Farida"/>
        <s v="Zubaika"/>
        <s v="Tita Fatimah, Sri Wulan Wibiyanti "/>
        <s v="DPRa Depok"/>
        <s v="DPRa Mampang"/>
        <s v="DPRa Panja"/>
        <s v="DPRa Dejay"/>
        <s v="DPRa Panmas"/>
        <s v="Baron Noorwendo"/>
        <s v="DPRa Panjaru"/>
        <s v="PM4106"/>
        <s v="Bu Eka"/>
        <s v="Nur Abadi"/>
        <s v="Faisal Hakim"/>
        <s v="Ning Zuraidah"/>
        <s v="Suhendi"/>
        <s v="Ibnu Nugroho"/>
        <s v="Agus"/>
        <s v="Jito"/>
        <s v="Nur Ikhwanto"/>
        <s v="Ijal"/>
        <s v="Nurjanah"/>
        <s v="Krisna"/>
        <s v="Mayasari"/>
        <s v="Faisal"/>
        <s v="Diana L"/>
        <s v="Hafid Nasir"/>
        <s v="Kantor"/>
        <s v="SiapeAje"/>
        <s v="Bu Iin"/>
        <s v="SPJE"/>
        <s v="Elda"/>
        <s v="Bid Tani"/>
        <s v="Reses"/>
        <s v="Suroto/Lusiana"/>
        <s v="Adhi Prayogi"/>
        <s v="DPC"/>
        <s v="Dini Kurnianing"/>
        <s v="Mardi"/>
        <s v="Chairunnisa (Istri Yosep)"/>
        <s v="Itishom"/>
        <s v="Mustopa"/>
        <s v="Diana"/>
        <s v="Efa"/>
        <s v="Khairul Rakhman"/>
        <s v="BK"/>
        <s v="Humas"/>
        <s v="Faisal H"/>
        <s v="Asep Tahyudin"/>
        <s v="Nasrul"/>
        <s v="Suroto"/>
        <s v="Mahmudin"/>
        <s v="Rantini"/>
        <s v="Agung H"/>
        <s v="Yusrizal"/>
        <s v="PM4206"/>
        <s v="ActionPay"/>
        <s v="External"/>
        <s v="BPH DPC+BKAP"/>
        <s v="BKAP"/>
        <s v="BPH DPC"/>
        <s v="Agung n Mustopa"/>
        <s v="Momon"/>
        <s v="Diana Lestari"/>
        <s v="Partilah"/>
        <s v="Muhsin Soleh"/>
        <s v="Grup UPA"/>
        <s v="Efa Afifa"/>
        <s v="Siti Nuroniah"/>
        <s v="Khairul R"/>
        <s v="Rahma W"/>
        <s v="Mitra"/>
        <s v="Ilham, Ika"/>
        <s v="Dini PM3216"/>
        <s v="Ilham, Verdian, Reza"/>
        <s v="Ali Rasyid"/>
        <s v="pandu"/>
        <s v="PM4201, PM4206, PM3218, Anwar N"/>
        <s v="Hilmi Zuhdi"/>
        <s v="Komdigi"/>
        <s v="Infaq"/>
        <s v="Bank"/>
        <s v="PLN"/>
        <s v="BPH"/>
        <s v="Nurabadi"/>
        <s v="Juarti"/>
        <s v="Stok"/>
        <s v="BKBN"/>
        <s v="Kepanduan"/>
        <s v="Kartika Sari"/>
        <s v="BPH inti"/>
        <s v="Lelatul H"/>
        <s v="Bendahara"/>
        <s v="PAA"/>
        <s v="Iyos Rosita"/>
        <s v="Salma Arifah"/>
        <s v="Albizar Garibaldi"/>
        <s v="Bipeka"/>
        <s v="tani"/>
        <s v="Ketua"/>
        <s v="Kesos"/>
        <s v="Para DPRa"/>
      </sharedItems>
    </cacheField>
    <cacheField name="Jenis" numFmtId="165">
      <sharedItems containsBlank="1">
        <s v="Saldo"/>
        <s v="Kegiatan"/>
        <s v="Rekonsil"/>
        <s v="Tunj Ops"/>
        <m/>
        <s v="Konsumsi"/>
        <s v="BMS"/>
        <s v="ITB"/>
        <s v="Taawun"/>
        <s v="IWB"/>
        <s v="Pinjaman"/>
        <s v="Lebih bayar"/>
        <s v="Infra"/>
        <s v="Kafalah"/>
        <s v="tunai"/>
        <s v="Tunjangan Ramadhan"/>
        <s v="Pinjam"/>
        <s v="UNKNOWN"/>
        <s v="Salkir"/>
        <s v="ops"/>
        <s v="Reimburse"/>
        <s v="Yayasan"/>
        <s v="Halbil"/>
        <s v="Tunj Aleg"/>
        <s v="Rutin"/>
        <s v="Bulanan"/>
        <s v="Apartemen"/>
        <s v="Tahunan"/>
        <s v="hadiah"/>
        <s v="talangan Mustopa"/>
        <s v="talangan giat humas"/>
        <s v="bedah buku"/>
        <s v="talangan studium generale"/>
        <s v="lain-lain"/>
        <s v="topup"/>
        <s v="iwb-belum-approve"/>
        <s v="salurkan ITB"/>
        <s v="IWB Setor"/>
        <s v="actionpay"/>
        <s v="Rakercab"/>
        <s v="Transport"/>
        <s v="refund"/>
        <s v="Apresiasi"/>
        <s v="Infaq"/>
        <s v="Pelatihan"/>
        <s v="Tunj Ops BPH"/>
        <s v="Pinjaman Sekolah Digital"/>
        <s v="Bank"/>
        <s v="Pulsa"/>
        <s v="giat"/>
        <s v="donasi"/>
        <s v="admin"/>
      </sharedItems>
    </cacheField>
    <cacheField name="Total Accounts" numFmtId="0">
      <sharedItems containsString="0" containsBlank="1" containsNumber="1">
        <m/>
        <n v="-800000.0"/>
        <n v="0.0"/>
        <n v="1.0E7"/>
        <n v="-6002306.0"/>
        <n v="410000.0"/>
        <n v="120000.0"/>
        <n v="-232000.0"/>
        <n v="300000.0"/>
        <n v="700000.0"/>
        <n v="-35000.0"/>
        <n v="-100000.0"/>
        <n v="-120000.0"/>
        <n v="-300000.0"/>
        <n v="-350000.0"/>
        <n v="-413000.0"/>
        <n v="-214000.0"/>
        <n v="-501203.0"/>
        <n v="150000.0"/>
        <n v="-7000000.0"/>
        <n v="-205000.0"/>
        <n v="-1000.0"/>
        <n v="-400000.0"/>
        <n v="840000.0"/>
        <n v="-219000.0"/>
        <n v="761300.0"/>
        <n v="-421200.0"/>
        <n v="-9952300.0"/>
        <n v="-3166300.0"/>
        <n v="-1161000.0"/>
        <n v="-250000.0"/>
        <n v="600000.0"/>
        <n v="3500000.0"/>
        <n v="50000.0"/>
        <n v="-100325.0"/>
        <n v="-5157500.0"/>
        <n v="7192600.0"/>
        <n v="-6259729.0"/>
        <n v="-1500000.0"/>
        <n v="-2000360.0"/>
        <n v="-215205.0"/>
        <n v="-416201.0"/>
        <n v="5700000.0"/>
        <n v="5000000.0"/>
        <n v="-3000339.0"/>
        <n v="-9000302.0"/>
        <n v="-7400000.0"/>
        <n v="2000000.0"/>
        <n v="-2300000.0"/>
        <n v="-675000.0"/>
        <n v="2300000.0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200000.0"/>
        <n v="-1711550.0"/>
        <n v="1.1716688E7"/>
        <n v="-5336798.0"/>
        <n v="-1260000.0"/>
        <n v="-200238.0"/>
        <n v="-200000.0"/>
        <n v="-301000.0"/>
        <n v="-2500314.0"/>
        <n v="-1258000.0"/>
        <n v="-202500.0"/>
        <n v="-392000.0"/>
        <n v="-446000.0"/>
        <n v="-3500000.0"/>
        <n v="-261000.0"/>
        <n v="-207000.0"/>
        <n v="-1410000.0"/>
        <n v="-351000.0"/>
        <n v="-500219.0"/>
        <n v="-600203.0"/>
        <n v="-3000307.0"/>
        <n v="-230200.0"/>
        <n v="-5000000.0"/>
        <n v="-810000.0"/>
        <n v="1.1615688E7"/>
        <n v="-4938525.0"/>
        <n v="1000000.0"/>
        <n v="500000.0"/>
        <n v="-359000.0"/>
        <n v="-305000.0"/>
        <n v="-750000.0"/>
        <n v="-277500.0"/>
        <n v="-700213.0"/>
        <n v="2500000.0"/>
        <n v="-500203.0"/>
        <n v="-425000.0"/>
        <n v="-247200.0"/>
        <n v="-700000.0"/>
        <n v="-152500.0"/>
        <n v="-300216.0"/>
        <n v="-1502500.0"/>
        <n v="-533000.0"/>
        <n v="-528000.0"/>
        <n v="-377000.0"/>
        <n v="-365000.0"/>
        <n v="-757000.0"/>
        <n v="-205202.0"/>
        <n v="-203000.0"/>
        <n v="-467000.0"/>
        <n v="-363000.0"/>
        <n v="9799725.0"/>
        <n v="-5363798.0"/>
        <n v="-298000.0"/>
        <n v="-478000.0"/>
        <n v="-489000.0"/>
        <n v="-3000344.0"/>
        <n v="-265000.0"/>
        <n v="-100317.0"/>
        <n v="-282500.0"/>
        <n v="-797000.0"/>
        <n v="-648000.0"/>
        <n v="-366000.0"/>
        <n v="-86000.0"/>
        <n v="-766000.0"/>
        <n v="-2000315.0"/>
        <n v="-1946500.0"/>
        <n v="-680000.0"/>
        <n v="-516000.0"/>
        <n v="-270000.0"/>
        <n v="-170000.0"/>
        <n v="-500319.0"/>
        <n v="550000.0"/>
        <n v="-300313.0"/>
        <n v="5542100.0"/>
        <n v="-2575410.0"/>
        <n v="-480000.0"/>
        <n v="-67000.0"/>
        <n v="-150000.0"/>
        <n v="-3000312.0"/>
        <n v="-2500304.0"/>
        <n v="-500000.0"/>
        <n v="-650000.0"/>
        <n v="-23000.0"/>
        <n v="-472300.0"/>
        <n v="3000000.0"/>
        <n v="-3000313.0"/>
        <n v="-174000.0"/>
        <n v="-800314.0"/>
        <n v="-117000.0"/>
        <n v="1.0108538E7"/>
        <n v="-5060340.0"/>
        <n v="-285000.0"/>
        <n v="-169000.0"/>
        <n v="-234000.0"/>
        <n v="-2500000.0"/>
        <n v="-403000.0"/>
        <n v="-300344.0"/>
        <n v="-200320.0"/>
        <n v="750000.0"/>
        <n v="-228000.0"/>
        <n v="-333000.0"/>
        <n v="-465000.0"/>
        <n v="-3000318.0"/>
        <n v="-373000.0"/>
        <n v="-3000322.0"/>
        <n v="-600000.0"/>
        <n v="-3000000.0"/>
        <n v="-498000.0"/>
        <n v="-500303.0"/>
        <n v="-445000.0"/>
        <n v="-6000301.0"/>
        <n v="7861975.0"/>
        <n v="-3466710.0"/>
        <n v="-220500.0"/>
        <n v="-4020300.0"/>
        <n v="-215000.0"/>
        <n v="-250300.0"/>
        <n v="-538000.0"/>
        <n v="-305301.0"/>
        <n v="-95000.0"/>
        <n v="-457000.0"/>
        <n v="-1160300.0"/>
        <n v="-83000.0"/>
        <n v="-793000.0"/>
        <n v="-315000.0"/>
        <n v="-500301.0"/>
        <n v="-250304.0"/>
        <n v="1.9E7"/>
        <n v="-259000.0"/>
        <n v="-8000300.0"/>
        <n v="-3000311.0"/>
        <n v="-227000.0"/>
        <n v="1.42849E7"/>
        <n v="-5498145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5575025.0"/>
        <n v="880000.0"/>
        <n v="-2293065.0"/>
        <n v="-3000304.0"/>
        <n v="-294000.0"/>
        <n v="-220000.0"/>
        <n v="-2500307.0"/>
        <n v="-344000.0"/>
        <n v="-1019000.0"/>
        <n v="-5000304.0"/>
        <n v="-500202.0"/>
        <n v="2695000.0"/>
        <n v="-317000.0"/>
        <n v="-500336.0"/>
        <n v="-130000.0"/>
        <n v="-4000316.0"/>
        <n v="-173000.0"/>
        <n v="4000000.0"/>
        <n v="-103000.0"/>
        <n v="-84000.0"/>
        <n v="-2695000.0"/>
        <n v="9417650.0"/>
        <n v="-6913890.0"/>
        <n v="-3000310.0"/>
        <n v="-60000.0"/>
        <n v="-25000.0"/>
        <n v="-5000300.0"/>
        <n v="-50000.0"/>
        <n v="-37000.0"/>
        <n v="-200377.0"/>
        <n v="-250377.0"/>
        <n v="1.1463275E7"/>
        <n v="-6512715.0"/>
        <n v="-129000.0"/>
        <n v="-576000.0"/>
        <n v="-135000.0"/>
        <n v="-250369.0"/>
        <n v="-172000.0"/>
        <n v="-160000.0"/>
        <n v="-335000.0"/>
        <n v="-44000.0"/>
        <n v="-1150000.0"/>
        <n v="-200204.0"/>
        <n v="1.9707625E7"/>
        <n v="-1.0212075E7"/>
        <n v="-2000.0"/>
        <n v="1200000.0"/>
        <n v="-378000.0"/>
        <n v="-6700326.0"/>
        <n v="800000.0"/>
        <n v="-604000.0"/>
        <n v="350000.0"/>
        <n v="-850329.0"/>
        <n v="-500327.0"/>
        <n v="-500333.0"/>
        <n v="-350331.0"/>
        <n v="-1000345.0"/>
        <n v="-300333.0"/>
        <n v="-3004326.0"/>
        <n v="9705000.0"/>
        <n v="-4608000.0"/>
        <n v="185000.0"/>
        <n v="-200326.0"/>
        <n v="-87000.0"/>
        <n v="-390000.0"/>
        <n v="-1000352.0"/>
        <n v="-450000.0"/>
        <n v="-3000331.0"/>
        <n v="-3500332.0"/>
        <n v="-13125.0"/>
        <n v="-1287000.0"/>
        <n v="400000.0"/>
        <n v="1.7466625E7"/>
        <n v="-7629975.0"/>
        <n v="-900337.0"/>
        <n v="-152000.0"/>
        <n v="-338550.0"/>
        <n v="-488000.0"/>
        <n v="-94000.0"/>
        <n v="45000.0"/>
        <n v="-2000330.0"/>
        <n v="-725000.0"/>
        <n v="-49000.0"/>
        <n v="-75000.0"/>
        <n v="-4250326.0"/>
        <n v="-99326.0"/>
        <n v="-283000.0"/>
        <n v="-209000.0"/>
        <n v="-245000.0"/>
        <n v="-3000327.0"/>
        <n v="1.0100675E7"/>
        <n v="-4698225.0"/>
        <n v="-300341.0"/>
        <n v="-1400326.0"/>
        <n v="370000.0"/>
        <n v="-18517.75"/>
        <n v="-601328.0"/>
        <n v="-236000.0"/>
        <n v="-151500.0"/>
        <n v="-2000343.0"/>
        <n v="9979000.0"/>
        <n v="-4853025.0"/>
        <n v="-900203.0"/>
        <n v="-3005326.0"/>
        <n v="-1630325.0"/>
        <n v="-100336.0"/>
        <n v="-501327.0"/>
        <n v="-70000.0"/>
        <n v="-355000.0"/>
        <n v="-157000.0"/>
        <n v="-302000.0"/>
        <n v="-64000.0"/>
        <n v="-384000.0"/>
        <n v="-2700000.0"/>
        <n v="1.29442E7"/>
        <n v="-6472925.0"/>
        <n v="-159700.0"/>
        <n v="-900000.0"/>
        <n v="-51500.0"/>
        <n v="-206000.0"/>
        <n v="-213000.0"/>
        <n v="-338000.0"/>
        <n v="-1.05E7"/>
        <n v="-368000.0"/>
        <n v="9301400.0"/>
        <n v="-4011840.0"/>
        <n v="-3000329.0"/>
        <n v="-96000.0"/>
        <n v="-585000.0"/>
        <n v="-240000.0"/>
        <n v="-164000.0"/>
        <n v="-386000.0"/>
        <n v="-103500.0"/>
        <n v="-3003326.0"/>
        <n v="1.09754E7"/>
        <n v="-4899240.0"/>
        <n v="-111000.0"/>
        <n v="-578000.0"/>
        <n v="-45000.0"/>
        <n v="-900204.0"/>
        <n v="-394000.0"/>
        <n v="-4350000.0"/>
        <n v="1.541165E7"/>
        <n v="-7587340.0"/>
        <n v="1.773E7"/>
        <n v="-1.773E7"/>
        <n v="-28040.84"/>
        <n v="362250.0"/>
        <n v="-900326.0"/>
      </sharedItems>
    </cacheField>
    <cacheField name="Rek 7212" numFmtId="165">
      <sharedItems containsString="0" containsBlank="1" containsNumber="1">
        <n v="6.787939879E7"/>
        <m/>
        <n v="-3.0E7"/>
        <n v="1.0E7"/>
        <n v="410000.0"/>
        <n v="120000.0"/>
        <n v="300000.0"/>
        <n v="700000.0"/>
        <n v="150000.0"/>
        <n v="761300.0"/>
        <n v="-2.0E7"/>
        <n v="600000.0"/>
        <n v="3500000.0"/>
        <n v="50000.0"/>
        <n v="7192600.0"/>
        <n v="5700000.0"/>
        <n v="5000000.0"/>
        <n v="2000000.0"/>
        <n v="-2.5E7"/>
        <n v="-1.5E7"/>
        <n v="1.1716688E7"/>
        <n v="200000.0"/>
        <n v="1.1615688E7"/>
        <n v="1000000.0"/>
        <n v="500000.0"/>
        <n v="2500000.0"/>
        <n v="9799725.0"/>
        <n v="550000.0"/>
        <n v="5542100.0"/>
        <n v="3000000.0"/>
        <n v="1.0108538E7"/>
        <n v="7861975.0"/>
        <n v="1.9E7"/>
        <n v="-2.8E7"/>
        <n v="1.42849E7"/>
        <n v="-5498145.0"/>
        <n v="5575025.0"/>
        <n v="880000.0"/>
        <n v="2695000.0"/>
        <n v="9417650.0"/>
        <n v="-6913890.0"/>
        <n v="1.1463275E7"/>
        <n v="-6512715.0"/>
        <n v="-1.0E7"/>
        <n v="270000.0"/>
        <n v="1.9707625E7"/>
        <n v="-1.0212075E7"/>
        <n v="-3004326.0"/>
        <n v="9705000.0"/>
        <n v="-4608000.0"/>
        <n v="-3000331.0"/>
        <n v="400000.0"/>
        <n v="1.7466625E7"/>
        <n v="-7629975.0"/>
        <n v="-900337.0"/>
        <n v="-3000327.0"/>
        <n v="1.0100675E7"/>
        <n v="-4698225.0"/>
        <n v="370000.0"/>
        <n v="-18517.75"/>
        <n v="1.6E7"/>
        <n v="4000000.0"/>
        <n v="9979000.0"/>
        <n v="-4853025.0"/>
        <n v="-900203.0"/>
        <n v="-3005326.0"/>
        <n v="-5000000.0"/>
        <n v="1.29442E7"/>
        <n v="-6472925.0"/>
        <n v="-159700.0"/>
        <n v="-900000.0"/>
        <n v="-2700000.0"/>
        <n v="750000.0"/>
        <n v="-1.05E7"/>
        <n v="9301400.0"/>
        <n v="-4011840.0"/>
        <n v="-3000329.0"/>
        <n v="1.09754E7"/>
        <n v="-4899240.0"/>
        <n v="-900204.0"/>
        <n v="-734000.0"/>
        <n v="901500.0"/>
        <n v="-1365000.0"/>
        <n v="-4350000.0"/>
        <n v="1.541165E7"/>
        <n v="-7587340.0"/>
        <n v="-18040.84"/>
        <n v="342250.0"/>
        <n v="-900326.0"/>
        <n v="-7000000.0"/>
      </sharedItems>
    </cacheField>
    <cacheField name="Rek 7137" numFmtId="165">
      <sharedItems containsString="0" containsBlank="1" containsNumber="1">
        <n v="2.948326199E7"/>
        <m/>
        <n v="-901500.0"/>
        <n v="1.773E7"/>
        <n v="-1.773E7"/>
        <n v="-10000.0"/>
        <n v="20000.0"/>
      </sharedItems>
    </cacheField>
    <cacheField name="Rek 79100" numFmtId="165">
      <sharedItems containsString="0" containsBlank="1" containsNumber="1" containsInteger="1">
        <n v="0.0"/>
        <n v="-800000.0"/>
        <n v="3.0E7"/>
        <m/>
        <n v="-6002306.0"/>
        <n v="-232000.0"/>
        <n v="-35000.0"/>
        <n v="-100000.0"/>
        <n v="-120000.0"/>
        <n v="-300000.0"/>
        <n v="-350000.0"/>
        <n v="-413000.0"/>
        <n v="-214000.0"/>
        <n v="-501203.0"/>
        <n v="-7000000.0"/>
        <n v="-205000.0"/>
        <n v="-401000.0"/>
        <n v="840000.0"/>
        <n v="-219000.0"/>
        <n v="-421200.0"/>
        <n v="-9952300.0"/>
        <n v="-3166300.0"/>
        <n v="-1161000.0"/>
        <n v="2.0E7"/>
        <n v="-1851000.0"/>
        <n v="-51000.0"/>
        <n v="-400000.0"/>
        <n v="-100325.0"/>
        <n v="-5157500.0"/>
        <n v="-6259729.0"/>
        <n v="-1500000.0"/>
        <n v="-2000360.0"/>
        <n v="-215205.0"/>
        <n v="-416201.0"/>
        <n v="-3000339.0"/>
        <n v="-9000302.0"/>
        <n v="-7400000.0"/>
        <n v="-2300000.0"/>
        <n v="-675000.0"/>
        <n v="2300000.0"/>
        <n v="2000000.0"/>
        <n v="-1239000.0"/>
        <n v="2.5E7"/>
        <n v="-3930000.0"/>
        <n v="-1202500.0"/>
        <n v="3930000.0"/>
        <n v="-2000000.0"/>
        <n v="-391460.0"/>
        <n v="-3000315.0"/>
        <n v="1.1E7"/>
        <n v="-1000000.0"/>
        <n v="-4920300.0"/>
        <n v="-75201.0"/>
        <n v="-5450300.0"/>
        <n v="-26250.0"/>
        <n v="1.5E7"/>
        <n v="200000.0"/>
        <n v="-1711550.0"/>
        <n v="-5336798.0"/>
        <n v="-1260000.0"/>
        <n v="-200238.0"/>
        <n v="-200000.0"/>
        <n v="-301000.0"/>
        <n v="-2500314.0"/>
        <n v="-1258000.0"/>
        <n v="-202500.0"/>
        <n v="-3500000.0"/>
        <n v="-500219.0"/>
        <n v="-3067000.0"/>
        <n v="600000.0"/>
        <n v="-600203.0"/>
        <n v="-3000307.0"/>
        <n v="-230200.0"/>
        <n v="-5000000.0"/>
        <n v="-810000.0"/>
        <n v="-4938525.0"/>
        <n v="-750000.0"/>
        <n v="-700213.0"/>
        <n v="-941000.0"/>
        <n v="-500203.0"/>
        <n v="-247200.0"/>
        <n v="-700000.0"/>
        <n v="-300216.0"/>
        <n v="-1502500.0"/>
        <n v="-2500000.0"/>
        <n v="-1723000.0"/>
        <n v="-205202.0"/>
        <n v="-2580000.0"/>
        <n v="-467000.0"/>
        <n v="-5363798.0"/>
        <n v="-3000344.0"/>
        <n v="-2505000.0"/>
        <n v="-100317.0"/>
        <n v="-282500.0"/>
        <n v="-797000.0"/>
        <n v="-265000.0"/>
        <n v="-2000315.0"/>
        <n v="-2266000.0"/>
        <n v="-1946500.0"/>
        <n v="-680000.0"/>
        <n v="-516000.0"/>
        <n v="-440000.0"/>
        <n v="-500319.0"/>
        <n v="-300313.0"/>
        <n v="-2575410.0"/>
        <n v="-500000.0"/>
        <n v="-997000.0"/>
        <n v="-3000312.0"/>
        <n v="-2500304.0"/>
        <n v="-650000.0"/>
        <n v="-472300.0"/>
        <n v="-3000313.0"/>
        <n v="-800314.0"/>
        <n v="-5060340.0"/>
        <n v="-1408000.0"/>
        <n v="-300344.0"/>
        <n v="-200320.0"/>
        <n v="750000.0"/>
        <n v="-250000.0"/>
        <n v="-1863000.0"/>
        <n v="-3000318.0"/>
        <n v="-373000.0"/>
        <n v="-3000322.0"/>
        <n v="-600000.0"/>
        <n v="-3000000.0"/>
        <n v="-500303.0"/>
        <n v="-6000301.0"/>
        <n v="-4980004.0"/>
        <n v="4980000.0"/>
        <n v="-498000.0"/>
        <n v="-3466710.0"/>
        <n v="-220500.0"/>
        <n v="-4020300.0"/>
        <n v="-250300.0"/>
        <n v="-305301.0"/>
        <n v="-1198000.0"/>
        <n v="-1160300.0"/>
        <n v="-1038000.0"/>
        <n v="-793000.0"/>
        <n v="-315000.0"/>
        <n v="-500301.0"/>
        <n v="-250304.0"/>
        <n v="-259000.0"/>
        <n v="-8000300.0"/>
        <n v="2.8E7"/>
        <n v="-3000311.0"/>
        <n v="-227000.0"/>
        <n v="-1750000.0"/>
        <n v="-1877000.0"/>
        <n v="-500312.0"/>
        <n v="-500300.0"/>
        <n v="-600303.0"/>
        <n v="-2500302.0"/>
        <n v="-93000.0"/>
        <n v="-929000.0"/>
        <n v="-1553000.0"/>
        <n v="-4271600.0"/>
        <n v="-2293065.0"/>
        <n v="-3000304.0"/>
        <n v="300000.0"/>
        <n v="-2500307.0"/>
        <n v="-1019000.0"/>
        <n v="-858000.0"/>
        <n v="-5000304.0"/>
        <n v="-500202.0"/>
        <n v="-2044000.0"/>
        <n v="-500336.0"/>
        <n v="-317000.0"/>
        <n v="-4000316.0"/>
        <n v="-1324000.0"/>
        <n v="4000000.0"/>
        <n v="-506000.0"/>
        <n v="-2695000.0"/>
        <n v="-414000.0"/>
        <n v="-3000310.0"/>
        <n v="-521000.0"/>
        <n v="-5000300.0"/>
        <n v="-374000.0"/>
        <n v="-738000.0"/>
        <n v="-801000.0"/>
        <n v="-200377.0"/>
        <n v="-250377.0"/>
        <n v="-493000.0"/>
        <n v="1.0E7"/>
        <n v="-270000.0"/>
        <n v="-1643000.0"/>
        <n v="-250369.0"/>
        <n v="-538000.0"/>
        <n v="-887000.0"/>
        <n v="-1150000.0"/>
        <n v="-200204.0"/>
        <n v="-1502000.0"/>
        <n v="-1202000.0"/>
        <n v="-802000.0"/>
        <n v="-378000.0"/>
        <n v="-6700326.0"/>
        <n v="800000.0"/>
        <n v="350000.0"/>
        <n v="-850329.0"/>
        <n v="-604000.0"/>
        <n v="-752000.0"/>
        <n v="-500327.0"/>
        <n v="-500333.0"/>
        <n v="-350331.0"/>
        <n v="-1000345.0"/>
        <n v="-300333.0"/>
        <n v="-815000.0"/>
        <n v="-200326.0"/>
        <n v="-1000352.0"/>
        <n v="-1669000.0"/>
        <n v="-150000.0"/>
        <n v="-3500332.0"/>
        <n v="-13125.0"/>
        <n v="3500000.0"/>
        <n v="-1287000.0"/>
        <n v="-152000.0"/>
        <n v="-954550.0"/>
        <n v="-488000.0"/>
        <n v="5000000.0"/>
        <n v="-194000.0"/>
        <n v="45000.0"/>
        <n v="-2000330.0"/>
        <n v="-4250326.0"/>
        <n v="-99326.0"/>
        <n v="-1052000.0"/>
        <n v="-737000.0"/>
        <n v="-300341.0"/>
        <n v="1000000.0"/>
        <n v="-1400326.0"/>
        <n v="-1.6E7"/>
        <n v="150000.0"/>
        <n v="-601328.0"/>
        <n v="-339000.0"/>
        <n v="-151500.0"/>
        <n v="-2000343.0"/>
        <n v="-1630325.0"/>
        <n v="-100336.0"/>
        <n v="-1916000.0"/>
        <n v="-501327.0"/>
        <n v="-1008000.0"/>
        <n v="-384000.0"/>
        <n v="-365000.0"/>
        <n v="-234000.0"/>
        <n v="-2700000.0"/>
        <n v="-51500.0"/>
        <n v="2700000.0"/>
        <n v="-1615000.0"/>
        <n v="-468000.0"/>
        <n v="-653500.0"/>
        <n v="-3003326.0"/>
        <n v="7000000.0"/>
      </sharedItems>
    </cacheField>
    <cacheField name="Bea admin" numFmtId="0">
      <sharedItems containsString="0" containsBlank="1" containsNumber="1" containsInteger="1">
        <m/>
        <n v="2306.0"/>
        <n v="1203.0"/>
        <n v="1000.0"/>
        <n v="1200.0"/>
        <n v="2300.0"/>
        <n v="1300.0"/>
        <n v="325.0"/>
        <n v="2500.0"/>
        <n v="360.0"/>
        <n v="205.0"/>
        <n v="201.0"/>
        <n v="339.0"/>
        <n v="302.0"/>
        <n v="315.0"/>
        <n v="300.0"/>
        <n v="238.0"/>
        <n v="314.0"/>
        <n v="219.0"/>
        <n v="203.0"/>
        <n v="307.0"/>
        <n v="213.0"/>
        <n v="200.0"/>
        <n v="216.0"/>
        <n v="202.0"/>
        <n v="344.0"/>
        <n v="317.0"/>
        <n v="319.0"/>
        <n v="313.0"/>
        <n v="312.0"/>
        <n v="304.0"/>
        <n v="320.0"/>
        <n v="318.0"/>
        <n v="322.0"/>
        <n v="303.0"/>
        <n v="301.0"/>
        <n v="311.0"/>
        <n v="336.0"/>
        <n v="316.0"/>
        <n v="310.0"/>
        <n v="377.0"/>
        <n v="369.0"/>
        <n v="204.0"/>
        <n v="2000.0"/>
        <n v="326.0"/>
        <n v="329.0"/>
        <n v="327.0"/>
        <n v="333.0"/>
        <n v="331.0"/>
        <n v="345.0"/>
        <n v="4326.0"/>
        <n v="352.0"/>
        <n v="332.0"/>
        <n v="337.0"/>
        <n v="330.0"/>
        <n v="341.0"/>
        <n v="1328.0"/>
        <n v="1500.0"/>
        <n v="1327.0"/>
      </sharedItems>
    </cacheField>
    <cacheField name="Asep" numFmtId="0">
      <sharedItems containsString="0" containsBlank="1" containsNumber="1" containsInteger="1">
        <m/>
        <n v="1239000.0"/>
        <n v="-392000.0"/>
        <n v="-446000.0"/>
        <n v="-261000.0"/>
        <n v="-207000.0"/>
        <n v="-1410000.0"/>
        <n v="-351000.0"/>
        <n v="3067000.0"/>
        <n v="-359000.0"/>
        <n v="-305000.0"/>
        <n v="-277500.0"/>
        <n v="941000.0"/>
        <n v="-425000.0"/>
        <n v="-152500.0"/>
        <n v="-533000.0"/>
        <n v="-528000.0"/>
        <n v="-377000.0"/>
        <n v="-365000.0"/>
        <n v="2500000.0"/>
        <n v="-757000.0"/>
        <n v="1723000.0"/>
        <n v="2580000.0"/>
        <n v="-203000.0"/>
        <n v="-120000.0"/>
        <n v="-363000.0"/>
        <n v="-298000.0"/>
        <n v="-478000.0"/>
        <n v="-489000.0"/>
        <n v="-265000.0"/>
        <n v="2505000.0"/>
        <n v="-648000.0"/>
        <n v="-366000.0"/>
        <n v="265000.0"/>
        <n v="-200000.0"/>
        <n v="-86000.0"/>
        <n v="-766000.0"/>
        <n v="2266000.0"/>
        <n v="-270000.0"/>
        <n v="-170000.0"/>
        <n v="-300000.0"/>
        <n v="200000.0"/>
        <n v="440000.0"/>
        <n v="500000.0"/>
        <n v="-480000.0"/>
        <n v="-67000.0"/>
        <n v="-150000.0"/>
        <n v="997000.0"/>
        <n v="650000.0"/>
        <n v="-23000.0"/>
        <n v="-174000.0"/>
        <n v="-117000.0"/>
        <n v="-285000.0"/>
        <n v="-169000.0"/>
        <n v="-234000.0"/>
        <n v="1408000.0"/>
        <n v="-403000.0"/>
        <n v="-228000.0"/>
        <n v="-333000.0"/>
        <n v="-465000.0"/>
        <n v="1863000.0"/>
        <n v="-498000.0"/>
        <n v="-445000.0"/>
        <n v="4980004.0"/>
        <n v="-4980000.0"/>
        <n v="498000.0"/>
        <n v="-215000.0"/>
        <n v="-538000.0"/>
        <n v="1198000.0"/>
        <n v="-95000.0"/>
        <n v="-457000.0"/>
        <n v="-83000.0"/>
        <n v="1038000.0"/>
        <n v="-294000.0"/>
        <n v="-220000.0"/>
        <n v="-344000.0"/>
        <n v="858000.0"/>
        <n v="-317000.0"/>
        <n v="2044000.0"/>
        <n v="317000.0"/>
        <n v="-130000.0"/>
        <n v="1324000.0"/>
        <n v="-173000.0"/>
        <n v="506000.0"/>
        <n v="-103000.0"/>
        <n v="-227000.0"/>
        <n v="-84000.0"/>
        <n v="414000.0"/>
        <n v="-60000.0"/>
        <n v="-25000.0"/>
        <n v="521000.0"/>
        <n v="374000.0"/>
        <n v="738000.0"/>
        <n v="-50000.0"/>
        <n v="-37000.0"/>
        <n v="493000.0"/>
        <n v="-129000.0"/>
        <n v="-600000.0"/>
        <n v="-576000.0"/>
        <n v="-135000.0"/>
        <n v="1643000.0"/>
        <n v="538000.0"/>
        <n v="-172000.0"/>
        <n v="-160000.0"/>
        <n v="-335000.0"/>
        <n v="-44000.0"/>
        <n v="887000.0"/>
        <n v="-350000.0"/>
        <n v="350000.0"/>
        <n v="-378000.0"/>
        <n v="378000.0"/>
        <n v="-604000.0"/>
        <n v="604000.0"/>
        <n v="-87000.0"/>
        <n v="-390000.0"/>
        <n v="-250000.0"/>
        <n v="1669000.0"/>
        <n v="-400000.0"/>
        <n v="-450000.0"/>
        <n v="1150000.0"/>
        <n v="-1287000.0"/>
        <n v="1287000.0"/>
        <n v="-338550.0"/>
        <n v="954550.0"/>
        <n v="-488000.0"/>
        <n v="488000.0"/>
        <n v="-100000.0"/>
        <n v="-94000.0"/>
        <n v="194000.0"/>
        <n v="-725000.0"/>
        <n v="-49000.0"/>
        <n v="-75000.0"/>
        <n v="1052000.0"/>
        <n v="-283000.0"/>
        <n v="-209000.0"/>
        <n v="-245000.0"/>
        <n v="737000.0"/>
        <n v="-236000.0"/>
        <n v="339000.0"/>
        <n v="1916000.0"/>
        <n v="-70000.0"/>
        <n v="-355000.0"/>
        <n v="-157000.0"/>
        <n v="-302000.0"/>
        <n v="-64000.0"/>
        <n v="1008000.0"/>
        <n v="-384000.0"/>
        <n v="384000.0"/>
        <n v="365000.0"/>
        <n v="234000.0"/>
        <n v="-206000.0"/>
        <n v="-213000.0"/>
        <n v="-338000.0"/>
        <n v="1615000.0"/>
        <n v="-368000.0"/>
        <n v="468000.0"/>
        <n v="-96000.0"/>
        <n v="-585000.0"/>
        <n v="-240000.0"/>
        <n v="-164000.0"/>
        <n v="-386000.0"/>
        <n v="-103500.0"/>
        <n v="653500.0"/>
        <n v="-111000.0"/>
        <n v="-578000.0"/>
        <n v="-45000.0"/>
        <n v="734000.0"/>
        <n v="-394000.0"/>
        <n v="1365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Rekap per bulan" cacheId="2" dataCaption="" rowGrandTotals="0" compact="0" compactData="0">
  <location ref="A1:G38" firstHeaderRow="0" firstDataRow="3" firstDataCol="0"/>
  <pivotFields>
    <pivotField name="Tanggal" axis="axisRow" compact="0" numFmtId="164" outline="0" multipleItemSelectionAllowed="1" showAll="0" sortType="ascending">
      <items>
        <item x="3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1"/>
        <item x="272"/>
        <item x="273"/>
        <item x="274"/>
        <item x="277"/>
        <item x="278"/>
        <item x="275"/>
        <item x="279"/>
        <item x="276"/>
        <item x="280"/>
        <item x="281"/>
        <item x="285"/>
        <item x="282"/>
        <item x="283"/>
        <item x="284"/>
        <item x="286"/>
        <item x="287"/>
        <item x="288"/>
        <item x="289"/>
        <item x="293"/>
        <item x="290"/>
        <item x="292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t="default"/>
      </items>
    </pivotField>
    <pivotField name="Gr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Jenis" axis="axisRow" dataField="1" compact="0" numFmtId="165" outline="0" multipleItemSelectionAllowed="1" showAll="0" sortType="ascending">
      <items>
        <item x="4"/>
        <item x="38"/>
        <item x="51"/>
        <item x="26"/>
        <item x="42"/>
        <item x="47"/>
        <item x="31"/>
        <item x="6"/>
        <item x="25"/>
        <item x="50"/>
        <item x="49"/>
        <item x="28"/>
        <item x="22"/>
        <item x="43"/>
        <item x="12"/>
        <item x="7"/>
        <item x="9"/>
        <item x="37"/>
        <item x="35"/>
        <item x="13"/>
        <item x="1"/>
        <item x="5"/>
        <item x="33"/>
        <item x="11"/>
        <item x="19"/>
        <item x="44"/>
        <item x="16"/>
        <item x="10"/>
        <item x="46"/>
        <item x="48"/>
        <item x="39"/>
        <item x="41"/>
        <item x="20"/>
        <item x="2"/>
        <item x="24"/>
        <item x="0"/>
        <item x="18"/>
        <item x="36"/>
        <item x="8"/>
        <item x="27"/>
        <item x="30"/>
        <item x="29"/>
        <item x="32"/>
        <item x="34"/>
        <item x="40"/>
        <item x="14"/>
        <item x="23"/>
        <item x="3"/>
        <item x="45"/>
        <item x="15"/>
        <item x="17"/>
        <item x="21"/>
        <item t="default"/>
      </items>
    </pivotField>
    <pivotField name="Total Accou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Rek 721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k 7137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k 79100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Bea a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As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</pivotFields>
  <rowFields>
    <field x="0"/>
    <field x="3"/>
  </rowFields>
  <colFields>
    <field x="-2"/>
  </colFields>
  <dataFields>
    <dataField name="Total" fld="4" baseField="0"/>
    <dataField name="Rek 7212" fld="5" baseField="0"/>
    <dataField name="79100" fld="7" baseField="0"/>
    <dataField name="Asep" fld="9" baseField="0"/>
    <dataField name="COUNTA of Jenis" fld="3" subtotal="count" baseField="0"/>
  </dataFields>
</pivotTableDefinition>
</file>

<file path=xl/pivotTables/pivotTable2.xml><?xml version="1.0" encoding="utf-8"?>
<pivotTableDefinition xmlns="http://schemas.openxmlformats.org/spreadsheetml/2006/main" name="Rekap per jenis per bulan" cacheId="2" dataCaption="" compact="0" compactData="0">
  <location ref="A1:G54" firstHeaderRow="0" firstDataRow="3" firstDataCol="0"/>
  <pivotFields>
    <pivotField name="Tanggal" axis="axisRow" compact="0" numFmtId="164" outline="0" multipleItemSelectionAllowed="1" showAll="0" sortType="ascending">
      <items>
        <item x="3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1"/>
        <item x="272"/>
        <item x="273"/>
        <item x="274"/>
        <item x="277"/>
        <item x="278"/>
        <item x="275"/>
        <item x="279"/>
        <item x="276"/>
        <item x="280"/>
        <item x="281"/>
        <item x="285"/>
        <item x="282"/>
        <item x="283"/>
        <item x="284"/>
        <item x="286"/>
        <item x="287"/>
        <item x="288"/>
        <item x="289"/>
        <item x="293"/>
        <item x="290"/>
        <item x="292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t="default"/>
      </items>
    </pivotField>
    <pivotField name="Gr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Jenis" axis="axisRow" dataField="1" compact="0" numFmtId="165" outline="0" multipleItemSelectionAllowed="1" showAll="0" sortType="ascending" defaultSubtotal="0">
      <items>
        <item sd="0" x="4"/>
        <item sd="0" x="38"/>
        <item x="51"/>
        <item sd="0" x="26"/>
        <item sd="0" x="42"/>
        <item sd="0" x="47"/>
        <item sd="0" x="31"/>
        <item sd="0" x="6"/>
        <item sd="0" x="25"/>
        <item x="50"/>
        <item x="49"/>
        <item sd="0" x="28"/>
        <item sd="0" x="22"/>
        <item sd="0" x="43"/>
        <item sd="0" x="12"/>
        <item sd="0" x="7"/>
        <item sd="0" x="9"/>
        <item sd="0" x="37"/>
        <item sd="0" x="35"/>
        <item sd="0" x="13"/>
        <item sd="0" x="1"/>
        <item sd="0" x="5"/>
        <item sd="0" x="33"/>
        <item sd="0" x="11"/>
        <item sd="0" x="19"/>
        <item sd="0" x="44"/>
        <item sd="0" x="16"/>
        <item sd="0" x="10"/>
        <item x="46"/>
        <item x="48"/>
        <item sd="0" x="39"/>
        <item sd="0" x="41"/>
        <item sd="0" x="20"/>
        <item sd="0" x="2"/>
        <item sd="0" x="24"/>
        <item sd="0" x="0"/>
        <item sd="0" x="18"/>
        <item sd="0" x="36"/>
        <item sd="0" x="8"/>
        <item sd="0" x="27"/>
        <item sd="0" x="30"/>
        <item sd="0" x="29"/>
        <item sd="0" x="32"/>
        <item sd="0" x="34"/>
        <item sd="0" x="40"/>
        <item sd="0" x="14"/>
        <item sd="0" x="23"/>
        <item sd="0" x="3"/>
        <item sd="0" x="45"/>
        <item sd="0" x="15"/>
        <item sd="0" x="17"/>
        <item sd="0" x="21"/>
      </items>
    </pivotField>
    <pivotField name="Total Accou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Rek 721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k 7137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k 79100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Bea a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As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</pivotFields>
  <rowFields>
    <field x="3"/>
    <field x="0"/>
  </rowFields>
  <colFields>
    <field x="-2"/>
  </colFields>
  <dataFields>
    <dataField name="SUM of Total Accounts" fld="4" baseField="0"/>
    <dataField name="SUM of Rek 7212" fld="5" baseField="0"/>
    <dataField name="SUM of Rek 79100" fld="7" baseField="0"/>
    <dataField name="SUM of Asep" fld="9" baseField="0"/>
    <dataField name="COUNTA of Jenis" fld="3" subtotal="count" baseField="0"/>
  </dataFields>
</pivotTableDefinition>
</file>

<file path=xl/pivotTables/pivotTable3.xml><?xml version="1.0" encoding="utf-8"?>
<pivotTableDefinition xmlns="http://schemas.openxmlformats.org/spreadsheetml/2006/main" name="Rekap" cacheId="0" dataCaption="" compact="0" compactData="0">
  <location ref="A3:F40" firstHeaderRow="0" firstDataRow="2" firstDataCol="0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Kegiatan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Gr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Jenis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Accou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Rek 721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k 7137" compact="0" numFmtId="165" outline="0" multipleItemSelectionAllowed="1" showAll="0">
      <items>
        <item x="0"/>
        <item x="1"/>
        <item t="default"/>
      </items>
    </pivotField>
    <pivotField name="Rek 79100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Bea a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s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</pivotFields>
  <rowFields>
    <field x="3"/>
  </rowFields>
  <colFields>
    <field x="-2"/>
  </colFields>
  <pageFields>
    <pageField fld="1"/>
  </pageFields>
  <dataFields>
    <dataField name="SUM of Total Accounts" fld="4" baseField="0"/>
    <dataField name="SUM of Rek 7212" fld="5" baseField="0"/>
    <dataField name="SUM of Rek 79100" fld="7" baseField="0"/>
    <dataField name="SUM of Asep" fld="9" baseField="0"/>
    <dataField name="COUNTA of Jenis" fld="3" subtotal="count" baseField="0"/>
  </dataFields>
</pivotTableDefinition>
</file>

<file path=xl/pivotTables/pivotTable4.xml><?xml version="1.0" encoding="utf-8"?>
<pivotTableDefinition xmlns="http://schemas.openxmlformats.org/spreadsheetml/2006/main" name="Rekap piutang" cacheId="1" dataCaption="" compact="0" compactData="0">
  <location ref="A3:D15" firstHeaderRow="0" firstDataRow="2" firstDataCol="0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t="default"/>
      </items>
    </pivotField>
    <pivotField name="Grup" axis="axisRow" compact="0" outline="0" multipleItemSelectionAllowed="1" showAll="0" sortType="ascending">
      <items>
        <item x="0"/>
        <item x="38"/>
        <item x="99"/>
        <item x="78"/>
        <item x="96"/>
        <item x="104"/>
        <item x="60"/>
        <item x="139"/>
        <item x="118"/>
        <item x="37"/>
        <item x="9"/>
        <item x="23"/>
        <item x="91"/>
        <item x="42"/>
        <item x="124"/>
        <item x="51"/>
        <item x="135"/>
        <item x="75"/>
        <item x="140"/>
        <item x="88"/>
        <item x="102"/>
        <item x="130"/>
        <item x="126"/>
        <item x="103"/>
        <item x="101"/>
        <item x="133"/>
        <item x="54"/>
        <item x="72"/>
        <item x="82"/>
        <item x="40"/>
        <item x="85"/>
        <item x="68"/>
        <item x="106"/>
        <item x="80"/>
        <item x="116"/>
        <item x="79"/>
        <item x="2"/>
        <item x="3"/>
        <item x="49"/>
        <item x="46"/>
        <item x="47"/>
        <item x="48"/>
        <item x="52"/>
        <item x="50"/>
        <item x="86"/>
        <item x="110"/>
        <item x="25"/>
        <item x="32"/>
        <item x="74"/>
        <item x="43"/>
        <item x="100"/>
        <item x="67"/>
        <item x="90"/>
        <item x="56"/>
        <item x="109"/>
        <item x="69"/>
        <item x="6"/>
        <item x="121"/>
        <item x="89"/>
        <item x="59"/>
        <item x="41"/>
        <item x="63"/>
        <item x="21"/>
        <item x="115"/>
        <item x="117"/>
        <item x="28"/>
        <item x="123"/>
        <item x="83"/>
        <item x="137"/>
        <item x="61"/>
        <item x="128"/>
        <item x="31"/>
        <item x="70"/>
        <item x="132"/>
        <item x="26"/>
        <item x="30"/>
        <item x="131"/>
        <item x="143"/>
        <item x="142"/>
        <item x="112"/>
        <item x="87"/>
        <item x="29"/>
        <item x="122"/>
        <item x="65"/>
        <item x="34"/>
        <item x="134"/>
        <item x="94"/>
        <item x="81"/>
        <item x="27"/>
        <item x="66"/>
        <item x="114"/>
        <item x="105"/>
        <item x="108"/>
        <item x="11"/>
        <item x="39"/>
        <item x="84"/>
        <item x="92"/>
        <item x="57"/>
        <item x="55"/>
        <item x="62"/>
        <item x="127"/>
        <item x="64"/>
        <item x="20"/>
        <item x="136"/>
        <item x="119"/>
        <item x="144"/>
        <item x="22"/>
        <item x="107"/>
        <item x="125"/>
        <item x="14"/>
        <item x="18"/>
        <item x="15"/>
        <item x="13"/>
        <item x="17"/>
        <item x="35"/>
        <item x="4"/>
        <item x="16"/>
        <item x="5"/>
        <item x="10"/>
        <item x="53"/>
        <item x="36"/>
        <item x="120"/>
        <item x="98"/>
        <item x="113"/>
        <item x="95"/>
        <item x="76"/>
        <item x="8"/>
        <item x="33"/>
        <item x="138"/>
        <item x="71"/>
        <item x="111"/>
        <item x="73"/>
        <item x="129"/>
        <item x="58"/>
        <item x="93"/>
        <item x="77"/>
        <item x="141"/>
        <item x="24"/>
        <item x="45"/>
        <item x="12"/>
        <item x="1"/>
        <item x="19"/>
        <item x="97"/>
        <item x="7"/>
        <item x="44"/>
        <item t="default"/>
      </items>
    </pivotField>
    <pivotField name="Jenis" axis="axisPage" compact="0" numFmtId="165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t="default"/>
      </items>
    </pivotField>
    <pivotField name="Total Accou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Rek 721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Rek 7137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k 7910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Bea a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A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DPR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tion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ea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onsum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aawu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iuta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Kelua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Jumlah Masu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2"/>
  </rowFields>
  <colFields>
    <field x="-2"/>
  </colFields>
  <pageFields>
    <pageField fld="3"/>
  </pageFields>
  <dataFields>
    <dataField name="Total Accounts" fld="4" baseField="0"/>
    <dataField name="Jumlah Keluar" fld="17" baseField="0"/>
    <dataField name="Jumlah Masuk" fld="18" baseField="0"/>
  </dataFields>
</pivotTableDefinition>
</file>

<file path=xl/tables/table1.xml><?xml version="1.0" encoding="utf-8"?>
<table xmlns="http://schemas.openxmlformats.org/spreadsheetml/2006/main" ref="A1:S663" displayName="Table1" name="Table1" id="1">
  <autoFilter ref="$A$1:$S$663"/>
  <tableColumns count="19">
    <tableColumn name="Tanggal" id="1"/>
    <tableColumn name="Kegiatan" id="2"/>
    <tableColumn name="Grup" id="3"/>
    <tableColumn name="Jenis" id="4"/>
    <tableColumn name="Total Accounts" id="5"/>
    <tableColumn name="Rek 7212" id="6"/>
    <tableColumn name="Rek 7137" id="7"/>
    <tableColumn name="Rek 79100" id="8"/>
    <tableColumn name="Bea admin" id="9"/>
    <tableColumn name="Asep" id="10"/>
    <tableColumn name="DPRa" id="11"/>
    <tableColumn name="Actionpay" id="12"/>
    <tableColumn name="BeaKegiatan" id="13"/>
    <tableColumn name="Konsumsi" id="14"/>
    <tableColumn name="Ops" id="15"/>
    <tableColumn name="Taawun" id="16"/>
    <tableColumn name="piutang" id="17"/>
    <tableColumn name="Jumlah Keluar" id="18"/>
    <tableColumn name="Jumlah Masuk" id="19"/>
  </tableColumns>
  <tableStyleInfo name="Uta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98" dT="2026-03-18T09:19:39.00" personId="{7ae34b6f-f6be-446c-9c72-52f91c83f940}" id="{d20f8772-6489-4a38-96bd-ca92f2febed5}" done="0">
    <x18tc:text xml:space="preserve">13 x bukebr @70 k 910
17 Mart 2026
Bukber panita terakhir 
Kurma 40 k
Es buah 5 60 k
Sate 5 150 k
Nasi 5 25 k 
Air mineral 17 k
Poto copy
Amplop 
Storfom 85 k
Total 1.287 k</x18tc:text>
  </x18tc:threadedComment>
  <x18tc:threadedComment ref="B523" dT="2026-04-12T08:22:23.00" personId="{7ae34b6f-f6be-446c-9c72-52f91c83f940}" id="{01df65c9-be27-477a-a6ed-4de9bb99dd56}" done="0">
    <x18tc:text xml:space="preserve">Lele, soto ayam, jeruk 80k
+ lele   14k</x18tc:text>
  </x18tc:threadedComment>
  <x18tc:threadedComment ref="B453" dT="2026-02-03T11:03:28.00" personId="{7ae34b6f-f6be-446c-9c72-52f91c83f940}" id="{6b8e9048-642c-40dd-946d-74e58d480391}" done="0">
    <x18tc:text xml:space="preserve">Laporan pengeluaran DPC februari 2026
- iyuran wajib 200 k
- internet DPC 338 k
- stok gas 366 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7.88"/>
    <col customWidth="1" min="3" max="3" width="12.38"/>
    <col customWidth="1" min="4" max="4" width="20.63"/>
    <col customWidth="1" min="5" max="5" width="20.0"/>
    <col customWidth="1" min="6" max="7" width="15.88"/>
    <col customWidth="1" min="8" max="8" width="16.75"/>
    <col customWidth="1" min="9" max="9" width="16.63"/>
    <col customWidth="1" min="10" max="10" width="12.63"/>
    <col customWidth="1" min="11" max="11" width="12.88"/>
    <col customWidth="1" min="12" max="12" width="16.25"/>
    <col customWidth="1" min="13" max="13" width="12.13"/>
    <col customWidth="1" min="14" max="14" width="13.0"/>
    <col customWidth="1" min="16" max="16" width="14.5"/>
    <col customWidth="1" min="17" max="17" width="14.38"/>
    <col customWidth="1" min="18" max="18" width="16.25"/>
    <col customWidth="1" min="19" max="19" width="16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22.5" customHeight="1">
      <c r="A2" s="9">
        <v>45688.0</v>
      </c>
      <c r="B2" s="11"/>
      <c r="C2" s="12"/>
      <c r="D2" s="13" t="s">
        <v>26</v>
      </c>
      <c r="E2" s="13"/>
      <c r="F2" s="13">
        <v>6.787939879E7</v>
      </c>
      <c r="G2" s="13">
        <v>2.948326199E7</v>
      </c>
      <c r="H2" s="13">
        <v>0.0</v>
      </c>
      <c r="I2" s="14"/>
      <c r="J2" s="14"/>
      <c r="K2" s="14"/>
      <c r="L2" s="14"/>
      <c r="M2" s="14"/>
      <c r="N2" s="14"/>
      <c r="O2" s="14"/>
      <c r="P2" s="14"/>
      <c r="Q2" s="14"/>
      <c r="R2" s="15">
        <f t="shared" ref="R2:R350" si="1">if(E2&lt;0,-E2,0)</f>
        <v>0</v>
      </c>
      <c r="S2" s="15">
        <f t="shared" ref="S2:S434" si="2">if(E2&gt;0,-E2,0)</f>
        <v>0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22.5" customHeight="1">
      <c r="A3" s="9">
        <v>45690.0</v>
      </c>
      <c r="B3" s="11" t="s">
        <v>49</v>
      </c>
      <c r="C3" s="16" t="s">
        <v>50</v>
      </c>
      <c r="D3" s="13" t="s">
        <v>1</v>
      </c>
      <c r="E3" s="13">
        <f t="shared" ref="E3:E663" si="3">F3+G3+H3+J3+L3</f>
        <v>-800000</v>
      </c>
      <c r="F3" s="13"/>
      <c r="G3" s="14"/>
      <c r="H3" s="13">
        <v>-800000.0</v>
      </c>
      <c r="I3" s="14"/>
      <c r="J3" s="14"/>
      <c r="K3" s="14"/>
      <c r="L3" s="14"/>
      <c r="M3" s="14"/>
      <c r="N3" s="14"/>
      <c r="O3" s="14"/>
      <c r="P3" s="14"/>
      <c r="Q3" s="14"/>
      <c r="R3" s="14">
        <f t="shared" si="1"/>
        <v>800000</v>
      </c>
      <c r="S3" s="15">
        <f t="shared" si="2"/>
        <v>0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22.5" customHeight="1">
      <c r="A4" s="9">
        <v>45690.0</v>
      </c>
      <c r="B4" s="11" t="s">
        <v>60</v>
      </c>
      <c r="C4" s="12"/>
      <c r="D4" s="13" t="s">
        <v>38</v>
      </c>
      <c r="E4" s="13">
        <f t="shared" si="3"/>
        <v>0</v>
      </c>
      <c r="F4" s="13">
        <v>-3.0E7</v>
      </c>
      <c r="G4" s="14"/>
      <c r="H4" s="13">
        <v>3.0E7</v>
      </c>
      <c r="I4" s="14"/>
      <c r="J4" s="14"/>
      <c r="K4" s="14"/>
      <c r="L4" s="14"/>
      <c r="M4" s="14"/>
      <c r="N4" s="14"/>
      <c r="O4" s="14"/>
      <c r="P4" s="14"/>
      <c r="Q4" s="14"/>
      <c r="R4" s="15">
        <f t="shared" si="1"/>
        <v>0</v>
      </c>
      <c r="S4" s="15">
        <f t="shared" si="2"/>
        <v>0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2.5" customHeight="1">
      <c r="A5" s="9">
        <v>45690.0</v>
      </c>
      <c r="B5" s="11" t="s">
        <v>61</v>
      </c>
      <c r="C5" s="16" t="s">
        <v>62</v>
      </c>
      <c r="D5" s="13" t="s">
        <v>56</v>
      </c>
      <c r="E5" s="13">
        <f t="shared" si="3"/>
        <v>10000000</v>
      </c>
      <c r="F5" s="13">
        <v>1.0E7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>
        <f t="shared" si="1"/>
        <v>0</v>
      </c>
      <c r="S5" s="14">
        <f t="shared" si="2"/>
        <v>-10000000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22.5" customHeight="1">
      <c r="A6" s="9">
        <v>45691.0</v>
      </c>
      <c r="B6" s="11" t="s">
        <v>63</v>
      </c>
      <c r="C6" s="16" t="s">
        <v>10</v>
      </c>
      <c r="D6" s="13" t="s">
        <v>56</v>
      </c>
      <c r="E6" s="13">
        <f t="shared" si="3"/>
        <v>-6002306</v>
      </c>
      <c r="F6" s="14"/>
      <c r="G6" s="14"/>
      <c r="H6" s="13">
        <v>-6002306.0</v>
      </c>
      <c r="I6" s="13">
        <v>2306.0</v>
      </c>
      <c r="J6" s="13"/>
      <c r="K6" s="13">
        <v>6000000.0</v>
      </c>
      <c r="L6" s="14"/>
      <c r="M6" s="14"/>
      <c r="N6" s="14"/>
      <c r="O6" s="14"/>
      <c r="P6" s="14"/>
      <c r="Q6" s="14"/>
      <c r="R6" s="14">
        <f t="shared" si="1"/>
        <v>6002306</v>
      </c>
      <c r="S6" s="15">
        <f t="shared" si="2"/>
        <v>0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22.5" customHeight="1">
      <c r="A7" s="9">
        <v>45695.0</v>
      </c>
      <c r="B7" s="11" t="s">
        <v>64</v>
      </c>
      <c r="C7" s="16" t="s">
        <v>65</v>
      </c>
      <c r="D7" s="18"/>
      <c r="E7" s="13">
        <f t="shared" si="3"/>
        <v>410000</v>
      </c>
      <c r="F7" s="13">
        <v>410000.0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>
        <f t="shared" si="1"/>
        <v>0</v>
      </c>
      <c r="S7" s="14">
        <f t="shared" si="2"/>
        <v>-410000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22.5" customHeight="1">
      <c r="A8" s="9">
        <v>45695.0</v>
      </c>
      <c r="B8" s="11" t="s">
        <v>66</v>
      </c>
      <c r="C8" s="16" t="s">
        <v>67</v>
      </c>
      <c r="D8" s="18"/>
      <c r="E8" s="13">
        <f t="shared" si="3"/>
        <v>120000</v>
      </c>
      <c r="F8" s="13">
        <v>120000.0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>
        <f t="shared" si="1"/>
        <v>0</v>
      </c>
      <c r="S8" s="14">
        <f t="shared" si="2"/>
        <v>-120000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22.5" customHeight="1">
      <c r="A9" s="9">
        <v>45696.0</v>
      </c>
      <c r="B9" s="11" t="s">
        <v>68</v>
      </c>
      <c r="C9" s="19"/>
      <c r="D9" s="13" t="s">
        <v>13</v>
      </c>
      <c r="E9" s="13">
        <f t="shared" si="3"/>
        <v>-232000</v>
      </c>
      <c r="F9" s="14"/>
      <c r="G9" s="14"/>
      <c r="H9" s="13">
        <v>-232000.0</v>
      </c>
      <c r="I9" s="14"/>
      <c r="J9" s="14"/>
      <c r="K9" s="14"/>
      <c r="L9" s="14"/>
      <c r="M9" s="14"/>
      <c r="N9" s="14"/>
      <c r="O9" s="14"/>
      <c r="P9" s="14"/>
      <c r="Q9" s="14"/>
      <c r="R9" s="14">
        <f t="shared" si="1"/>
        <v>232000</v>
      </c>
      <c r="S9" s="15">
        <f t="shared" si="2"/>
        <v>0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22.5" customHeight="1">
      <c r="A10" s="9">
        <v>45697.0</v>
      </c>
      <c r="B10" s="11" t="s">
        <v>69</v>
      </c>
      <c r="C10" s="16" t="s">
        <v>70</v>
      </c>
      <c r="D10" s="13" t="s">
        <v>45</v>
      </c>
      <c r="E10" s="13">
        <f t="shared" si="3"/>
        <v>300000</v>
      </c>
      <c r="F10" s="13">
        <v>300000.0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>
        <f t="shared" si="1"/>
        <v>0</v>
      </c>
      <c r="S10" s="14">
        <f t="shared" si="2"/>
        <v>-300000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22.5" customHeight="1">
      <c r="A11" s="9">
        <v>45697.0</v>
      </c>
      <c r="B11" s="11" t="s">
        <v>71</v>
      </c>
      <c r="C11" s="16" t="s">
        <v>70</v>
      </c>
      <c r="D11" s="13" t="s">
        <v>41</v>
      </c>
      <c r="E11" s="13">
        <f t="shared" si="3"/>
        <v>700000</v>
      </c>
      <c r="F11" s="13">
        <v>700000.0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>
        <f t="shared" si="1"/>
        <v>0</v>
      </c>
      <c r="S11" s="14">
        <f t="shared" si="2"/>
        <v>-700000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22.5" customHeight="1">
      <c r="A12" s="9">
        <v>45697.0</v>
      </c>
      <c r="B12" s="11" t="s">
        <v>78</v>
      </c>
      <c r="C12" s="19"/>
      <c r="D12" s="13" t="s">
        <v>13</v>
      </c>
      <c r="E12" s="13">
        <f t="shared" si="3"/>
        <v>-35000</v>
      </c>
      <c r="F12" s="14"/>
      <c r="G12" s="14"/>
      <c r="H12" s="13">
        <v>-35000.0</v>
      </c>
      <c r="I12" s="14"/>
      <c r="J12" s="14"/>
      <c r="K12" s="14"/>
      <c r="L12" s="14"/>
      <c r="M12" s="14"/>
      <c r="N12" s="14"/>
      <c r="O12" s="14"/>
      <c r="P12" s="14"/>
      <c r="Q12" s="14"/>
      <c r="R12" s="14">
        <f t="shared" si="1"/>
        <v>35000</v>
      </c>
      <c r="S12" s="15">
        <f t="shared" si="2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22.5" customHeight="1">
      <c r="A13" s="9">
        <v>45697.0</v>
      </c>
      <c r="B13" s="11" t="s">
        <v>84</v>
      </c>
      <c r="C13" s="19"/>
      <c r="D13" s="13" t="s">
        <v>13</v>
      </c>
      <c r="E13" s="13">
        <f t="shared" si="3"/>
        <v>-100000</v>
      </c>
      <c r="F13" s="14"/>
      <c r="G13" s="14"/>
      <c r="H13" s="13">
        <v>-100000.0</v>
      </c>
      <c r="I13" s="14"/>
      <c r="J13" s="14"/>
      <c r="K13" s="14"/>
      <c r="L13" s="14"/>
      <c r="M13" s="14"/>
      <c r="N13" s="14"/>
      <c r="O13" s="14"/>
      <c r="P13" s="14"/>
      <c r="Q13" s="14"/>
      <c r="R13" s="14">
        <f t="shared" si="1"/>
        <v>100000</v>
      </c>
      <c r="S13" s="15">
        <f t="shared" si="2"/>
        <v>0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22.5" customHeight="1">
      <c r="A14" s="9">
        <v>45697.0</v>
      </c>
      <c r="B14" s="11" t="s">
        <v>85</v>
      </c>
      <c r="C14" s="19"/>
      <c r="D14" s="13" t="s">
        <v>38</v>
      </c>
      <c r="E14" s="13">
        <f t="shared" si="3"/>
        <v>-120000</v>
      </c>
      <c r="F14" s="14"/>
      <c r="G14" s="14"/>
      <c r="H14" s="13">
        <v>-120000.0</v>
      </c>
      <c r="I14" s="14"/>
      <c r="J14" s="14"/>
      <c r="K14" s="14"/>
      <c r="L14" s="14"/>
      <c r="M14" s="14"/>
      <c r="N14" s="14"/>
      <c r="O14" s="14"/>
      <c r="P14" s="14"/>
      <c r="Q14" s="14"/>
      <c r="R14" s="14">
        <f t="shared" si="1"/>
        <v>120000</v>
      </c>
      <c r="S14" s="15">
        <f t="shared" si="2"/>
        <v>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22.5" customHeight="1">
      <c r="A15" s="9">
        <v>45700.0</v>
      </c>
      <c r="B15" s="11" t="s">
        <v>86</v>
      </c>
      <c r="C15" s="16" t="s">
        <v>87</v>
      </c>
      <c r="D15" s="13" t="s">
        <v>45</v>
      </c>
      <c r="E15" s="13">
        <f t="shared" si="3"/>
        <v>-300000</v>
      </c>
      <c r="F15" s="14"/>
      <c r="G15" s="14"/>
      <c r="H15" s="13">
        <v>-300000.0</v>
      </c>
      <c r="I15" s="14"/>
      <c r="J15" s="14"/>
      <c r="K15" s="14"/>
      <c r="L15" s="14"/>
      <c r="M15" s="14"/>
      <c r="N15" s="14"/>
      <c r="O15" s="14"/>
      <c r="P15" s="14"/>
      <c r="Q15" s="14"/>
      <c r="R15" s="14">
        <f t="shared" si="1"/>
        <v>300000</v>
      </c>
      <c r="S15" s="15">
        <f t="shared" si="2"/>
        <v>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22.5" customHeight="1">
      <c r="A16" s="9">
        <v>45700.0</v>
      </c>
      <c r="B16" s="11" t="s">
        <v>88</v>
      </c>
      <c r="C16" s="16" t="s">
        <v>80</v>
      </c>
      <c r="D16" s="13" t="s">
        <v>41</v>
      </c>
      <c r="E16" s="13">
        <f t="shared" si="3"/>
        <v>-350000</v>
      </c>
      <c r="F16" s="14"/>
      <c r="G16" s="14"/>
      <c r="H16" s="13">
        <v>-350000.0</v>
      </c>
      <c r="I16" s="14"/>
      <c r="J16" s="13"/>
      <c r="K16" s="14"/>
      <c r="L16" s="14"/>
      <c r="M16" s="14"/>
      <c r="N16" s="14"/>
      <c r="O16" s="14"/>
      <c r="P16" s="14"/>
      <c r="Q16" s="14"/>
      <c r="R16" s="14">
        <f t="shared" si="1"/>
        <v>350000</v>
      </c>
      <c r="S16" s="15">
        <f t="shared" si="2"/>
        <v>0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22.5" customHeight="1">
      <c r="A17" s="9">
        <v>45700.0</v>
      </c>
      <c r="B17" s="11" t="s">
        <v>89</v>
      </c>
      <c r="C17" s="16" t="s">
        <v>9</v>
      </c>
      <c r="D17" s="21" t="s">
        <v>13</v>
      </c>
      <c r="E17" s="13">
        <f t="shared" si="3"/>
        <v>-413000</v>
      </c>
      <c r="F17" s="14"/>
      <c r="G17" s="14"/>
      <c r="H17" s="13">
        <v>-413000.0</v>
      </c>
      <c r="I17" s="14"/>
      <c r="J17" s="13"/>
      <c r="K17" s="14"/>
      <c r="L17" s="14"/>
      <c r="M17" s="14"/>
      <c r="N17" s="14"/>
      <c r="O17" s="14"/>
      <c r="P17" s="14"/>
      <c r="Q17" s="14"/>
      <c r="R17" s="14">
        <f t="shared" si="1"/>
        <v>413000</v>
      </c>
      <c r="S17" s="15">
        <f t="shared" si="2"/>
        <v>0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22.5" customHeight="1">
      <c r="A18" s="9">
        <v>45700.0</v>
      </c>
      <c r="B18" s="11" t="s">
        <v>90</v>
      </c>
      <c r="C18" s="16" t="s">
        <v>80</v>
      </c>
      <c r="D18" s="13" t="s">
        <v>13</v>
      </c>
      <c r="E18" s="13">
        <f t="shared" si="3"/>
        <v>-214000</v>
      </c>
      <c r="F18" s="14"/>
      <c r="G18" s="14"/>
      <c r="H18" s="13">
        <v>-214000.0</v>
      </c>
      <c r="I18" s="14"/>
      <c r="J18" s="14"/>
      <c r="K18" s="14"/>
      <c r="L18" s="14"/>
      <c r="M18" s="14"/>
      <c r="N18" s="14"/>
      <c r="O18" s="14"/>
      <c r="P18" s="14"/>
      <c r="Q18" s="14"/>
      <c r="R18" s="14">
        <f t="shared" si="1"/>
        <v>214000</v>
      </c>
      <c r="S18" s="15">
        <f t="shared" si="2"/>
        <v>0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22.5" customHeight="1">
      <c r="A19" s="9">
        <v>45701.0</v>
      </c>
      <c r="B19" s="11" t="s">
        <v>91</v>
      </c>
      <c r="C19" s="19"/>
      <c r="D19" s="13" t="s">
        <v>15</v>
      </c>
      <c r="E19" s="13">
        <f t="shared" si="3"/>
        <v>-501203</v>
      </c>
      <c r="F19" s="14"/>
      <c r="G19" s="14"/>
      <c r="H19" s="13">
        <v>-501203.0</v>
      </c>
      <c r="I19" s="13">
        <v>1203.0</v>
      </c>
      <c r="J19" s="13"/>
      <c r="K19" s="14"/>
      <c r="L19" s="14"/>
      <c r="M19" s="13"/>
      <c r="N19" s="14"/>
      <c r="O19" s="14"/>
      <c r="P19" s="13">
        <v>500000.0</v>
      </c>
      <c r="Q19" s="14"/>
      <c r="R19" s="14">
        <f t="shared" si="1"/>
        <v>501203</v>
      </c>
      <c r="S19" s="15">
        <f t="shared" si="2"/>
        <v>0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22.5" customHeight="1">
      <c r="A20" s="9">
        <v>45702.0</v>
      </c>
      <c r="B20" s="11" t="s">
        <v>92</v>
      </c>
      <c r="C20" s="16" t="s">
        <v>93</v>
      </c>
      <c r="D20" s="13" t="s">
        <v>58</v>
      </c>
      <c r="E20" s="13">
        <f t="shared" si="3"/>
        <v>150000</v>
      </c>
      <c r="F20" s="13">
        <v>150000.0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>
        <f t="shared" si="1"/>
        <v>0</v>
      </c>
      <c r="S20" s="14">
        <f t="shared" si="2"/>
        <v>-150000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22.5" customHeight="1">
      <c r="A21" s="9">
        <v>45702.0</v>
      </c>
      <c r="B21" s="11" t="s">
        <v>94</v>
      </c>
      <c r="C21" s="16" t="s">
        <v>77</v>
      </c>
      <c r="D21" s="13" t="s">
        <v>27</v>
      </c>
      <c r="E21" s="13">
        <f t="shared" si="3"/>
        <v>-7000000</v>
      </c>
      <c r="F21" s="13"/>
      <c r="G21" s="14"/>
      <c r="H21" s="13">
        <v>-7000000.0</v>
      </c>
      <c r="I21" s="14"/>
      <c r="J21" s="14"/>
      <c r="K21" s="14"/>
      <c r="L21" s="14"/>
      <c r="M21" s="14"/>
      <c r="N21" s="14"/>
      <c r="O21" s="14"/>
      <c r="P21" s="14"/>
      <c r="Q21" s="14"/>
      <c r="R21" s="14">
        <f t="shared" si="1"/>
        <v>7000000</v>
      </c>
      <c r="S21" s="15">
        <f t="shared" si="2"/>
        <v>0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22.5" customHeight="1">
      <c r="A22" s="9">
        <v>45704.0</v>
      </c>
      <c r="B22" s="11" t="s">
        <v>95</v>
      </c>
      <c r="C22" s="16" t="s">
        <v>83</v>
      </c>
      <c r="D22" s="13" t="s">
        <v>13</v>
      </c>
      <c r="E22" s="13">
        <f t="shared" si="3"/>
        <v>-205000</v>
      </c>
      <c r="F22" s="14"/>
      <c r="G22" s="14"/>
      <c r="H22" s="13">
        <v>-205000.0</v>
      </c>
      <c r="I22" s="14"/>
      <c r="J22" s="14"/>
      <c r="K22" s="14"/>
      <c r="L22" s="14"/>
      <c r="M22" s="14"/>
      <c r="N22" s="14"/>
      <c r="O22" s="14"/>
      <c r="P22" s="14"/>
      <c r="Q22" s="14"/>
      <c r="R22" s="14">
        <f t="shared" si="1"/>
        <v>205000</v>
      </c>
      <c r="S22" s="15">
        <f t="shared" si="2"/>
        <v>0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22.5" customHeight="1">
      <c r="A23" s="9">
        <v>45705.0</v>
      </c>
      <c r="B23" s="11" t="s">
        <v>96</v>
      </c>
      <c r="C23" s="16" t="s">
        <v>97</v>
      </c>
      <c r="D23" s="13" t="s">
        <v>41</v>
      </c>
      <c r="E23" s="13">
        <f t="shared" si="3"/>
        <v>-1000</v>
      </c>
      <c r="F23" s="14"/>
      <c r="G23" s="14"/>
      <c r="H23" s="13">
        <v>-401000.0</v>
      </c>
      <c r="I23" s="13">
        <v>1000.0</v>
      </c>
      <c r="J23" s="13"/>
      <c r="K23" s="14"/>
      <c r="L23" s="13">
        <v>400000.0</v>
      </c>
      <c r="M23" s="14"/>
      <c r="N23" s="14"/>
      <c r="O23" s="14"/>
      <c r="P23" s="14"/>
      <c r="Q23" s="14"/>
      <c r="R23" s="14">
        <f t="shared" si="1"/>
        <v>1000</v>
      </c>
      <c r="S23" s="15">
        <f t="shared" si="2"/>
        <v>0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22.5" customHeight="1">
      <c r="A24" s="9">
        <v>45705.0</v>
      </c>
      <c r="B24" s="11" t="s">
        <v>98</v>
      </c>
      <c r="C24" s="16" t="s">
        <v>97</v>
      </c>
      <c r="D24" s="13" t="s">
        <v>41</v>
      </c>
      <c r="E24" s="13">
        <f t="shared" si="3"/>
        <v>-400000</v>
      </c>
      <c r="F24" s="14"/>
      <c r="G24" s="14"/>
      <c r="H24" s="14"/>
      <c r="I24" s="14"/>
      <c r="J24" s="14"/>
      <c r="K24" s="14"/>
      <c r="L24" s="13">
        <v>-400000.0</v>
      </c>
      <c r="M24" s="13">
        <v>400000.0</v>
      </c>
      <c r="N24" s="14"/>
      <c r="O24" s="14"/>
      <c r="P24" s="14"/>
      <c r="Q24" s="14"/>
      <c r="R24" s="14">
        <f t="shared" si="1"/>
        <v>400000</v>
      </c>
      <c r="S24" s="15">
        <f t="shared" si="2"/>
        <v>0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22.5" customHeight="1">
      <c r="A25" s="9">
        <v>45705.0</v>
      </c>
      <c r="B25" s="11" t="s">
        <v>99</v>
      </c>
      <c r="C25" s="16" t="s">
        <v>97</v>
      </c>
      <c r="D25" s="13" t="s">
        <v>38</v>
      </c>
      <c r="E25" s="13">
        <f t="shared" si="3"/>
        <v>840000</v>
      </c>
      <c r="F25" s="14"/>
      <c r="G25" s="14"/>
      <c r="H25" s="13">
        <v>840000.0</v>
      </c>
      <c r="I25" s="14"/>
      <c r="J25" s="14"/>
      <c r="K25" s="14"/>
      <c r="L25" s="14"/>
      <c r="M25" s="14"/>
      <c r="N25" s="14"/>
      <c r="O25" s="14"/>
      <c r="P25" s="14"/>
      <c r="Q25" s="14"/>
      <c r="R25" s="15">
        <f t="shared" si="1"/>
        <v>0</v>
      </c>
      <c r="S25" s="14">
        <f t="shared" si="2"/>
        <v>-840000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22.5" customHeight="1">
      <c r="A26" s="9">
        <v>45706.0</v>
      </c>
      <c r="B26" s="11" t="s">
        <v>100</v>
      </c>
      <c r="C26" s="19"/>
      <c r="D26" s="13" t="s">
        <v>13</v>
      </c>
      <c r="E26" s="13">
        <f t="shared" si="3"/>
        <v>-219000</v>
      </c>
      <c r="F26" s="14"/>
      <c r="G26" s="14"/>
      <c r="H26" s="13">
        <v>-219000.0</v>
      </c>
      <c r="I26" s="14"/>
      <c r="J26" s="14"/>
      <c r="K26" s="14"/>
      <c r="L26" s="14"/>
      <c r="M26" s="14"/>
      <c r="N26" s="14"/>
      <c r="O26" s="14"/>
      <c r="P26" s="14"/>
      <c r="Q26" s="14"/>
      <c r="R26" s="14">
        <f t="shared" si="1"/>
        <v>219000</v>
      </c>
      <c r="S26" s="15">
        <f t="shared" si="2"/>
        <v>0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22.5" customHeight="1">
      <c r="A27" s="9">
        <v>45708.0</v>
      </c>
      <c r="B27" s="11" t="s">
        <v>101</v>
      </c>
      <c r="C27" s="16" t="s">
        <v>102</v>
      </c>
      <c r="D27" s="13" t="s">
        <v>41</v>
      </c>
      <c r="E27" s="13">
        <f t="shared" si="3"/>
        <v>761300</v>
      </c>
      <c r="F27" s="13">
        <v>761300.0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>
        <f t="shared" si="1"/>
        <v>0</v>
      </c>
      <c r="S27" s="14">
        <f t="shared" si="2"/>
        <v>-761300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22.5" customHeight="1">
      <c r="A28" s="9">
        <v>45708.0</v>
      </c>
      <c r="B28" s="11" t="s">
        <v>103</v>
      </c>
      <c r="C28" s="19"/>
      <c r="D28" s="13" t="s">
        <v>13</v>
      </c>
      <c r="E28" s="13">
        <f t="shared" si="3"/>
        <v>-421200</v>
      </c>
      <c r="F28" s="14"/>
      <c r="G28" s="14"/>
      <c r="H28" s="13">
        <v>-421200.0</v>
      </c>
      <c r="I28" s="13">
        <v>1200.0</v>
      </c>
      <c r="J28" s="13"/>
      <c r="K28" s="14"/>
      <c r="L28" s="14"/>
      <c r="M28" s="13"/>
      <c r="N28" s="13">
        <v>420000.0</v>
      </c>
      <c r="O28" s="14"/>
      <c r="P28" s="14"/>
      <c r="Q28" s="14"/>
      <c r="R28" s="14">
        <f t="shared" si="1"/>
        <v>421200</v>
      </c>
      <c r="S28" s="15">
        <f t="shared" si="2"/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22.5" customHeight="1">
      <c r="A29" s="9">
        <v>45710.0</v>
      </c>
      <c r="B29" s="11" t="s">
        <v>104</v>
      </c>
      <c r="C29" s="19"/>
      <c r="D29" s="13" t="s">
        <v>1</v>
      </c>
      <c r="E29" s="13">
        <f t="shared" si="3"/>
        <v>-9952300</v>
      </c>
      <c r="F29" s="14"/>
      <c r="G29" s="14"/>
      <c r="H29" s="13">
        <v>-9952300.0</v>
      </c>
      <c r="I29" s="13">
        <v>2300.0</v>
      </c>
      <c r="J29" s="13"/>
      <c r="K29" s="14"/>
      <c r="L29" s="14"/>
      <c r="M29" s="13">
        <v>9950000.0</v>
      </c>
      <c r="N29" s="14"/>
      <c r="O29" s="14"/>
      <c r="P29" s="14"/>
      <c r="Q29" s="14"/>
      <c r="R29" s="14">
        <f t="shared" si="1"/>
        <v>9952300</v>
      </c>
      <c r="S29" s="15">
        <f t="shared" si="2"/>
        <v>0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22.5" customHeight="1">
      <c r="A30" s="9">
        <v>45710.0</v>
      </c>
      <c r="B30" s="11" t="s">
        <v>105</v>
      </c>
      <c r="C30" s="19"/>
      <c r="D30" s="13" t="s">
        <v>13</v>
      </c>
      <c r="E30" s="13">
        <f t="shared" si="3"/>
        <v>-3166300</v>
      </c>
      <c r="F30" s="14"/>
      <c r="G30" s="14"/>
      <c r="H30" s="13">
        <v>-3166300.0</v>
      </c>
      <c r="I30" s="13">
        <v>1300.0</v>
      </c>
      <c r="J30" s="13"/>
      <c r="K30" s="14"/>
      <c r="L30" s="14"/>
      <c r="M30" s="13"/>
      <c r="N30" s="13">
        <v>3165000.0</v>
      </c>
      <c r="O30" s="14"/>
      <c r="P30" s="14"/>
      <c r="Q30" s="14"/>
      <c r="R30" s="14">
        <f t="shared" si="1"/>
        <v>3166300</v>
      </c>
      <c r="S30" s="15">
        <f t="shared" si="2"/>
        <v>0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22.5" customHeight="1">
      <c r="A31" s="9">
        <v>45711.0</v>
      </c>
      <c r="B31" s="11" t="s">
        <v>106</v>
      </c>
      <c r="C31" s="16" t="s">
        <v>9</v>
      </c>
      <c r="D31" s="21" t="s">
        <v>13</v>
      </c>
      <c r="E31" s="13">
        <f t="shared" si="3"/>
        <v>-1161000</v>
      </c>
      <c r="F31" s="14"/>
      <c r="G31" s="14"/>
      <c r="H31" s="13">
        <v>-1161000.0</v>
      </c>
      <c r="I31" s="14"/>
      <c r="J31" s="14"/>
      <c r="K31" s="14"/>
      <c r="L31" s="14"/>
      <c r="M31" s="14"/>
      <c r="N31" s="13">
        <v>1161000.0</v>
      </c>
      <c r="O31" s="14"/>
      <c r="P31" s="14"/>
      <c r="Q31" s="14"/>
      <c r="R31" s="14">
        <f t="shared" si="1"/>
        <v>1161000</v>
      </c>
      <c r="S31" s="15">
        <f t="shared" si="2"/>
        <v>0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22.5" customHeight="1">
      <c r="A32" s="9">
        <v>45711.0</v>
      </c>
      <c r="B32" s="11" t="s">
        <v>107</v>
      </c>
      <c r="C32" s="12"/>
      <c r="D32" s="13" t="s">
        <v>38</v>
      </c>
      <c r="E32" s="13">
        <f t="shared" si="3"/>
        <v>0</v>
      </c>
      <c r="F32" s="13">
        <v>-2.0E7</v>
      </c>
      <c r="G32" s="14"/>
      <c r="H32" s="13">
        <v>2.0E7</v>
      </c>
      <c r="I32" s="14"/>
      <c r="J32" s="14"/>
      <c r="K32" s="14"/>
      <c r="L32" s="14"/>
      <c r="M32" s="14"/>
      <c r="N32" s="14"/>
      <c r="O32" s="14"/>
      <c r="P32" s="14"/>
      <c r="Q32" s="14"/>
      <c r="R32" s="15">
        <f t="shared" si="1"/>
        <v>0</v>
      </c>
      <c r="S32" s="15">
        <f t="shared" si="2"/>
        <v>0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22.5" customHeight="1">
      <c r="A33" s="9">
        <v>45712.0</v>
      </c>
      <c r="B33" s="11" t="s">
        <v>108</v>
      </c>
      <c r="C33" s="19"/>
      <c r="D33" s="13" t="s">
        <v>41</v>
      </c>
      <c r="E33" s="13">
        <f t="shared" si="3"/>
        <v>-1000</v>
      </c>
      <c r="F33" s="14"/>
      <c r="G33" s="14"/>
      <c r="H33" s="13">
        <v>-1851000.0</v>
      </c>
      <c r="I33" s="14"/>
      <c r="J33" s="14"/>
      <c r="K33" s="14"/>
      <c r="L33" s="13">
        <v>1850000.0</v>
      </c>
      <c r="M33" s="14"/>
      <c r="N33" s="14"/>
      <c r="O33" s="14"/>
      <c r="P33" s="14"/>
      <c r="Q33" s="14"/>
      <c r="R33" s="14">
        <f t="shared" si="1"/>
        <v>1000</v>
      </c>
      <c r="S33" s="15">
        <f t="shared" si="2"/>
        <v>0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22.5" customHeight="1">
      <c r="A34" s="9">
        <v>45712.0</v>
      </c>
      <c r="B34" s="11" t="s">
        <v>109</v>
      </c>
      <c r="C34" s="16" t="s">
        <v>102</v>
      </c>
      <c r="D34" s="13" t="s">
        <v>41</v>
      </c>
      <c r="E34" s="13">
        <f t="shared" si="3"/>
        <v>-350000</v>
      </c>
      <c r="F34" s="14"/>
      <c r="G34" s="14"/>
      <c r="H34" s="14"/>
      <c r="I34" s="14"/>
      <c r="J34" s="14"/>
      <c r="K34" s="14"/>
      <c r="L34" s="13">
        <v>-350000.0</v>
      </c>
      <c r="M34" s="14"/>
      <c r="N34" s="14"/>
      <c r="O34" s="14"/>
      <c r="P34" s="14"/>
      <c r="Q34" s="14"/>
      <c r="R34" s="14">
        <f t="shared" si="1"/>
        <v>350000</v>
      </c>
      <c r="S34" s="15">
        <f t="shared" si="2"/>
        <v>0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22.5" customHeight="1">
      <c r="A35" s="9">
        <v>45712.0</v>
      </c>
      <c r="B35" s="11" t="s">
        <v>110</v>
      </c>
      <c r="C35" s="16" t="s">
        <v>111</v>
      </c>
      <c r="D35" s="13" t="s">
        <v>41</v>
      </c>
      <c r="E35" s="13">
        <f t="shared" si="3"/>
        <v>-350000</v>
      </c>
      <c r="F35" s="14"/>
      <c r="G35" s="14"/>
      <c r="H35" s="14"/>
      <c r="I35" s="14"/>
      <c r="J35" s="14"/>
      <c r="K35" s="14"/>
      <c r="L35" s="13">
        <v>-350000.0</v>
      </c>
      <c r="M35" s="14"/>
      <c r="N35" s="14"/>
      <c r="O35" s="14"/>
      <c r="P35" s="14"/>
      <c r="Q35" s="14"/>
      <c r="R35" s="14">
        <f t="shared" si="1"/>
        <v>350000</v>
      </c>
      <c r="S35" s="15">
        <f t="shared" si="2"/>
        <v>0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22.5" customHeight="1">
      <c r="A36" s="9">
        <v>45712.0</v>
      </c>
      <c r="B36" s="11" t="s">
        <v>112</v>
      </c>
      <c r="C36" s="16" t="s">
        <v>114</v>
      </c>
      <c r="D36" s="13" t="s">
        <v>41</v>
      </c>
      <c r="E36" s="13">
        <f t="shared" si="3"/>
        <v>-300000</v>
      </c>
      <c r="F36" s="14"/>
      <c r="G36" s="14"/>
      <c r="H36" s="14"/>
      <c r="I36" s="14"/>
      <c r="J36" s="14"/>
      <c r="K36" s="14"/>
      <c r="L36" s="13">
        <v>-300000.0</v>
      </c>
      <c r="M36" s="14"/>
      <c r="N36" s="14"/>
      <c r="O36" s="14"/>
      <c r="P36" s="14"/>
      <c r="Q36" s="14"/>
      <c r="R36" s="14">
        <f t="shared" si="1"/>
        <v>300000</v>
      </c>
      <c r="S36" s="15">
        <f t="shared" si="2"/>
        <v>0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22.5" customHeight="1">
      <c r="A37" s="9">
        <v>45712.0</v>
      </c>
      <c r="B37" s="11" t="s">
        <v>132</v>
      </c>
      <c r="C37" s="16" t="s">
        <v>135</v>
      </c>
      <c r="D37" s="13" t="s">
        <v>41</v>
      </c>
      <c r="E37" s="13">
        <f t="shared" si="3"/>
        <v>-300000</v>
      </c>
      <c r="F37" s="14"/>
      <c r="G37" s="14"/>
      <c r="H37" s="14"/>
      <c r="I37" s="14"/>
      <c r="J37" s="14"/>
      <c r="K37" s="14"/>
      <c r="L37" s="13">
        <v>-300000.0</v>
      </c>
      <c r="M37" s="14"/>
      <c r="N37" s="14"/>
      <c r="O37" s="14"/>
      <c r="P37" s="14"/>
      <c r="Q37" s="14"/>
      <c r="R37" s="14">
        <f t="shared" si="1"/>
        <v>300000</v>
      </c>
      <c r="S37" s="15">
        <f t="shared" si="2"/>
        <v>0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22.5" customHeight="1">
      <c r="A38" s="9">
        <v>45712.0</v>
      </c>
      <c r="B38" s="11" t="s">
        <v>159</v>
      </c>
      <c r="C38" s="16" t="s">
        <v>161</v>
      </c>
      <c r="D38" s="13" t="s">
        <v>41</v>
      </c>
      <c r="E38" s="13">
        <f t="shared" si="3"/>
        <v>-250000</v>
      </c>
      <c r="F38" s="14"/>
      <c r="G38" s="14"/>
      <c r="H38" s="14"/>
      <c r="I38" s="14"/>
      <c r="J38" s="14"/>
      <c r="K38" s="14"/>
      <c r="L38" s="13">
        <v>-250000.0</v>
      </c>
      <c r="M38" s="14"/>
      <c r="N38" s="14"/>
      <c r="O38" s="14"/>
      <c r="P38" s="14"/>
      <c r="Q38" s="14"/>
      <c r="R38" s="14">
        <f t="shared" si="1"/>
        <v>250000</v>
      </c>
      <c r="S38" s="15">
        <f t="shared" si="2"/>
        <v>0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22.5" customHeight="1">
      <c r="A39" s="9">
        <v>45712.0</v>
      </c>
      <c r="B39" s="11" t="s">
        <v>182</v>
      </c>
      <c r="C39" s="16" t="s">
        <v>135</v>
      </c>
      <c r="D39" s="13" t="s">
        <v>41</v>
      </c>
      <c r="E39" s="13">
        <f t="shared" si="3"/>
        <v>600000</v>
      </c>
      <c r="F39" s="13">
        <v>600000.0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5">
        <f t="shared" si="1"/>
        <v>0</v>
      </c>
      <c r="S39" s="14">
        <f t="shared" si="2"/>
        <v>-600000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22.5" customHeight="1">
      <c r="A40" s="9">
        <v>45712.0</v>
      </c>
      <c r="B40" s="11" t="s">
        <v>190</v>
      </c>
      <c r="C40" s="16" t="s">
        <v>77</v>
      </c>
      <c r="D40" s="13" t="s">
        <v>27</v>
      </c>
      <c r="E40" s="13">
        <f t="shared" si="3"/>
        <v>3500000</v>
      </c>
      <c r="F40" s="13">
        <v>3500000.0</v>
      </c>
      <c r="G40" s="14"/>
      <c r="H40" s="14"/>
      <c r="I40" s="14"/>
      <c r="J40" s="14"/>
      <c r="K40" s="14"/>
      <c r="L40" s="13"/>
      <c r="M40" s="14"/>
      <c r="N40" s="14"/>
      <c r="O40" s="14"/>
      <c r="P40" s="14"/>
      <c r="Q40" s="14"/>
      <c r="R40" s="15">
        <f t="shared" si="1"/>
        <v>0</v>
      </c>
      <c r="S40" s="14">
        <f t="shared" si="2"/>
        <v>-3500000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22.5" customHeight="1">
      <c r="A41" s="9">
        <v>45712.0</v>
      </c>
      <c r="B41" s="11" t="s">
        <v>204</v>
      </c>
      <c r="C41" s="19"/>
      <c r="D41" s="13" t="s">
        <v>38</v>
      </c>
      <c r="E41" s="13">
        <f t="shared" si="3"/>
        <v>50000</v>
      </c>
      <c r="F41" s="13">
        <v>50000.0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5">
        <f t="shared" si="1"/>
        <v>0</v>
      </c>
      <c r="S41" s="14">
        <f t="shared" si="2"/>
        <v>-50000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22.5" customHeight="1">
      <c r="A42" s="9">
        <v>45713.0</v>
      </c>
      <c r="B42" s="11" t="s">
        <v>108</v>
      </c>
      <c r="C42" s="19"/>
      <c r="D42" s="13" t="s">
        <v>41</v>
      </c>
      <c r="E42" s="13">
        <f t="shared" si="3"/>
        <v>-1000</v>
      </c>
      <c r="F42" s="14"/>
      <c r="G42" s="14"/>
      <c r="H42" s="13">
        <v>-51000.0</v>
      </c>
      <c r="I42" s="14"/>
      <c r="J42" s="14"/>
      <c r="K42" s="14"/>
      <c r="L42" s="13">
        <v>50000.0</v>
      </c>
      <c r="M42" s="14"/>
      <c r="N42" s="14"/>
      <c r="O42" s="14"/>
      <c r="P42" s="14"/>
      <c r="Q42" s="14"/>
      <c r="R42" s="14">
        <f t="shared" si="1"/>
        <v>1000</v>
      </c>
      <c r="S42" s="15">
        <f t="shared" si="2"/>
        <v>0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22.5" customHeight="1">
      <c r="A43" s="9">
        <v>45713.0</v>
      </c>
      <c r="B43" s="11" t="s">
        <v>222</v>
      </c>
      <c r="C43" s="16" t="s">
        <v>135</v>
      </c>
      <c r="D43" s="13" t="s">
        <v>41</v>
      </c>
      <c r="E43" s="13">
        <f t="shared" si="3"/>
        <v>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>
        <f t="shared" si="1"/>
        <v>0</v>
      </c>
      <c r="S43" s="15">
        <f t="shared" si="2"/>
        <v>0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22.5" customHeight="1">
      <c r="A44" s="9">
        <v>45714.0</v>
      </c>
      <c r="B44" s="11" t="s">
        <v>223</v>
      </c>
      <c r="C44" s="16" t="s">
        <v>224</v>
      </c>
      <c r="D44" s="21" t="s">
        <v>1</v>
      </c>
      <c r="E44" s="13">
        <f t="shared" si="3"/>
        <v>-400000</v>
      </c>
      <c r="F44" s="14"/>
      <c r="G44" s="14"/>
      <c r="H44" s="13">
        <v>-400000.0</v>
      </c>
      <c r="I44" s="13"/>
      <c r="J44" s="14"/>
      <c r="K44" s="14"/>
      <c r="L44" s="14"/>
      <c r="M44" s="14"/>
      <c r="N44" s="14"/>
      <c r="O44" s="14"/>
      <c r="P44" s="14"/>
      <c r="Q44" s="14"/>
      <c r="R44" s="14">
        <f t="shared" si="1"/>
        <v>400000</v>
      </c>
      <c r="S44" s="15">
        <f t="shared" si="2"/>
        <v>0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22.5" customHeight="1">
      <c r="A45" s="9">
        <v>45714.0</v>
      </c>
      <c r="B45" s="11" t="s">
        <v>225</v>
      </c>
      <c r="C45" s="16" t="s">
        <v>226</v>
      </c>
      <c r="D45" s="13" t="s">
        <v>44</v>
      </c>
      <c r="E45" s="13">
        <f t="shared" si="3"/>
        <v>-100325</v>
      </c>
      <c r="F45" s="14"/>
      <c r="G45" s="14"/>
      <c r="H45" s="13">
        <v>-100325.0</v>
      </c>
      <c r="I45" s="13">
        <v>325.0</v>
      </c>
      <c r="J45" s="14"/>
      <c r="K45" s="14"/>
      <c r="L45" s="14"/>
      <c r="M45" s="14"/>
      <c r="N45" s="14"/>
      <c r="O45" s="14"/>
      <c r="P45" s="14"/>
      <c r="Q45" s="14"/>
      <c r="R45" s="14">
        <f t="shared" si="1"/>
        <v>100325</v>
      </c>
      <c r="S45" s="15">
        <f t="shared" si="2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22.5" customHeight="1">
      <c r="A46" s="9">
        <v>45716.0</v>
      </c>
      <c r="B46" s="11" t="s">
        <v>227</v>
      </c>
      <c r="C46" s="16" t="s">
        <v>74</v>
      </c>
      <c r="D46" s="13" t="s">
        <v>24</v>
      </c>
      <c r="E46" s="13">
        <f t="shared" si="3"/>
        <v>-5157500</v>
      </c>
      <c r="F46" s="14"/>
      <c r="G46" s="14"/>
      <c r="H46" s="13">
        <f>-(5155000+2500)</f>
        <v>-5157500</v>
      </c>
      <c r="I46" s="13">
        <v>2500.0</v>
      </c>
      <c r="J46" s="14"/>
      <c r="K46" s="14"/>
      <c r="L46" s="14"/>
      <c r="M46" s="14"/>
      <c r="N46" s="14"/>
      <c r="O46" s="14"/>
      <c r="P46" s="14"/>
      <c r="Q46" s="14"/>
      <c r="R46" s="14">
        <f t="shared" si="1"/>
        <v>5157500</v>
      </c>
      <c r="S46" s="15">
        <f t="shared" si="2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22.5" customHeight="1">
      <c r="A47" s="9">
        <v>45716.0</v>
      </c>
      <c r="B47" s="11" t="s">
        <v>228</v>
      </c>
      <c r="C47" s="16" t="s">
        <v>229</v>
      </c>
      <c r="D47" s="13" t="s">
        <v>58</v>
      </c>
      <c r="E47" s="13">
        <f t="shared" si="3"/>
        <v>7192600</v>
      </c>
      <c r="F47" s="13">
        <v>7192600.0</v>
      </c>
      <c r="G47" s="14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5">
        <f t="shared" si="1"/>
        <v>0</v>
      </c>
      <c r="S47" s="14">
        <f t="shared" si="2"/>
        <v>-7192600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22.5" customHeight="1">
      <c r="A48" s="9">
        <v>45716.0</v>
      </c>
      <c r="B48" s="11" t="s">
        <v>142</v>
      </c>
      <c r="C48" s="16" t="s">
        <v>62</v>
      </c>
      <c r="D48" s="13" t="s">
        <v>58</v>
      </c>
      <c r="E48" s="13">
        <f t="shared" si="3"/>
        <v>-6259729</v>
      </c>
      <c r="F48" s="14"/>
      <c r="G48" s="14"/>
      <c r="H48" s="13">
        <v>-6259729.0</v>
      </c>
      <c r="I48" s="13"/>
      <c r="J48" s="14"/>
      <c r="K48" s="14"/>
      <c r="L48" s="14"/>
      <c r="M48" s="14"/>
      <c r="N48" s="14"/>
      <c r="O48" s="14"/>
      <c r="P48" s="14"/>
      <c r="Q48" s="14"/>
      <c r="R48" s="14">
        <f t="shared" si="1"/>
        <v>6259729</v>
      </c>
      <c r="S48" s="15">
        <f t="shared" si="2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22.5" customHeight="1">
      <c r="A49" s="9">
        <v>45721.0</v>
      </c>
      <c r="B49" s="11" t="s">
        <v>230</v>
      </c>
      <c r="C49" s="16" t="s">
        <v>231</v>
      </c>
      <c r="D49" s="13" t="s">
        <v>25</v>
      </c>
      <c r="E49" s="13">
        <f t="shared" si="3"/>
        <v>-1500000</v>
      </c>
      <c r="F49" s="14"/>
      <c r="G49" s="14"/>
      <c r="H49" s="13">
        <v>-1500000.0</v>
      </c>
      <c r="I49" s="14"/>
      <c r="J49" s="14"/>
      <c r="K49" s="14"/>
      <c r="L49" s="14"/>
      <c r="M49" s="14"/>
      <c r="N49" s="13"/>
      <c r="O49" s="13">
        <v>1500000.0</v>
      </c>
      <c r="P49" s="14"/>
      <c r="Q49" s="14"/>
      <c r="R49" s="14">
        <f t="shared" si="1"/>
        <v>1500000</v>
      </c>
      <c r="S49" s="15">
        <f t="shared" si="2"/>
        <v>0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22.5" customHeight="1">
      <c r="A50" s="9">
        <v>45721.0</v>
      </c>
      <c r="B50" s="11" t="s">
        <v>232</v>
      </c>
      <c r="C50" s="16" t="s">
        <v>233</v>
      </c>
      <c r="D50" s="13" t="s">
        <v>15</v>
      </c>
      <c r="E50" s="13">
        <f t="shared" si="3"/>
        <v>-2000360</v>
      </c>
      <c r="F50" s="14"/>
      <c r="G50" s="14"/>
      <c r="H50" s="13">
        <v>-2000360.0</v>
      </c>
      <c r="I50" s="13">
        <v>360.0</v>
      </c>
      <c r="J50" s="13"/>
      <c r="K50" s="14"/>
      <c r="L50" s="14"/>
      <c r="M50" s="13">
        <v>2000000.0</v>
      </c>
      <c r="N50" s="14"/>
      <c r="O50" s="14"/>
      <c r="P50" s="14"/>
      <c r="Q50" s="14"/>
      <c r="R50" s="14">
        <f t="shared" si="1"/>
        <v>2000360</v>
      </c>
      <c r="S50" s="15">
        <f t="shared" si="2"/>
        <v>0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22.5" customHeight="1">
      <c r="A51" s="9">
        <v>45722.0</v>
      </c>
      <c r="B51" s="11" t="s">
        <v>234</v>
      </c>
      <c r="C51" s="16" t="s">
        <v>235</v>
      </c>
      <c r="D51" s="13" t="s">
        <v>1</v>
      </c>
      <c r="E51" s="13">
        <f t="shared" si="3"/>
        <v>-215205</v>
      </c>
      <c r="F51" s="14"/>
      <c r="G51" s="14"/>
      <c r="H51" s="13">
        <v>-215205.0</v>
      </c>
      <c r="I51" s="13">
        <v>205.0</v>
      </c>
      <c r="J51" s="13"/>
      <c r="K51" s="14"/>
      <c r="L51" s="14"/>
      <c r="M51" s="13">
        <v>215000.0</v>
      </c>
      <c r="N51" s="14"/>
      <c r="O51" s="14"/>
      <c r="P51" s="14"/>
      <c r="Q51" s="14"/>
      <c r="R51" s="14">
        <f t="shared" si="1"/>
        <v>215205</v>
      </c>
      <c r="S51" s="15">
        <f t="shared" si="2"/>
        <v>0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22.5" customHeight="1">
      <c r="A52" s="9">
        <v>45722.0</v>
      </c>
      <c r="B52" s="11" t="s">
        <v>236</v>
      </c>
      <c r="C52" s="16" t="s">
        <v>237</v>
      </c>
      <c r="D52" s="13" t="s">
        <v>13</v>
      </c>
      <c r="E52" s="13">
        <f t="shared" si="3"/>
        <v>-416201</v>
      </c>
      <c r="F52" s="14"/>
      <c r="G52" s="14"/>
      <c r="H52" s="13">
        <v>-416201.0</v>
      </c>
      <c r="I52" s="13">
        <v>201.0</v>
      </c>
      <c r="J52" s="13"/>
      <c r="K52" s="14"/>
      <c r="L52" s="14"/>
      <c r="M52" s="13"/>
      <c r="N52" s="13">
        <v>416000.0</v>
      </c>
      <c r="O52" s="14"/>
      <c r="P52" s="14"/>
      <c r="Q52" s="14"/>
      <c r="R52" s="14">
        <f t="shared" si="1"/>
        <v>416201</v>
      </c>
      <c r="S52" s="15">
        <f t="shared" si="2"/>
        <v>0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22.5" customHeight="1">
      <c r="A53" s="9">
        <v>45722.0</v>
      </c>
      <c r="B53" s="11" t="s">
        <v>238</v>
      </c>
      <c r="C53" s="16" t="s">
        <v>80</v>
      </c>
      <c r="D53" s="13" t="s">
        <v>38</v>
      </c>
      <c r="E53" s="13">
        <f t="shared" si="3"/>
        <v>0</v>
      </c>
      <c r="F53" s="13">
        <v>-2.0E7</v>
      </c>
      <c r="G53" s="14"/>
      <c r="H53" s="13">
        <v>2.0E7</v>
      </c>
      <c r="I53" s="14"/>
      <c r="J53" s="14"/>
      <c r="K53" s="14"/>
      <c r="L53" s="14"/>
      <c r="M53" s="14"/>
      <c r="N53" s="14"/>
      <c r="O53" s="14"/>
      <c r="P53" s="14"/>
      <c r="Q53" s="14"/>
      <c r="R53" s="15">
        <f t="shared" si="1"/>
        <v>0</v>
      </c>
      <c r="S53" s="15">
        <f t="shared" si="2"/>
        <v>0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22.5" customHeight="1">
      <c r="A54" s="9">
        <v>45722.0</v>
      </c>
      <c r="B54" s="11" t="s">
        <v>239</v>
      </c>
      <c r="C54" s="16" t="s">
        <v>240</v>
      </c>
      <c r="D54" s="13" t="s">
        <v>53</v>
      </c>
      <c r="E54" s="13">
        <f t="shared" si="3"/>
        <v>5700000</v>
      </c>
      <c r="F54" s="13">
        <v>5700000.0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5">
        <f t="shared" si="1"/>
        <v>0</v>
      </c>
      <c r="S54" s="14">
        <f t="shared" si="2"/>
        <v>-5700000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22.5" customHeight="1">
      <c r="A55" s="9">
        <v>45722.0</v>
      </c>
      <c r="B55" s="11" t="s">
        <v>241</v>
      </c>
      <c r="C55" s="16" t="s">
        <v>62</v>
      </c>
      <c r="D55" s="13" t="s">
        <v>56</v>
      </c>
      <c r="E55" s="13">
        <f t="shared" si="3"/>
        <v>5000000</v>
      </c>
      <c r="F55" s="13">
        <v>5000000.0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5">
        <f t="shared" si="1"/>
        <v>0</v>
      </c>
      <c r="S55" s="14">
        <f t="shared" si="2"/>
        <v>-5000000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22.5" customHeight="1">
      <c r="A56" s="9">
        <v>45722.0</v>
      </c>
      <c r="B56" s="11" t="s">
        <v>242</v>
      </c>
      <c r="C56" s="16" t="s">
        <v>10</v>
      </c>
      <c r="D56" s="13" t="s">
        <v>56</v>
      </c>
      <c r="E56" s="13">
        <f t="shared" si="3"/>
        <v>-3000339</v>
      </c>
      <c r="F56" s="14"/>
      <c r="G56" s="14"/>
      <c r="H56" s="13">
        <v>-3000339.0</v>
      </c>
      <c r="I56" s="13">
        <v>339.0</v>
      </c>
      <c r="J56" s="13"/>
      <c r="K56" s="13">
        <v>3000000.0</v>
      </c>
      <c r="L56" s="14"/>
      <c r="M56" s="14"/>
      <c r="N56" s="14"/>
      <c r="O56" s="14"/>
      <c r="P56" s="14"/>
      <c r="Q56" s="14"/>
      <c r="R56" s="14">
        <f t="shared" si="1"/>
        <v>3000339</v>
      </c>
      <c r="S56" s="15">
        <f t="shared" si="2"/>
        <v>0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22.5" customHeight="1">
      <c r="A57" s="9">
        <v>45723.0</v>
      </c>
      <c r="B57" s="11" t="s">
        <v>243</v>
      </c>
      <c r="C57" s="16" t="s">
        <v>10</v>
      </c>
      <c r="D57" s="21" t="s">
        <v>29</v>
      </c>
      <c r="E57" s="13">
        <f t="shared" si="3"/>
        <v>-9000302</v>
      </c>
      <c r="F57" s="14"/>
      <c r="G57" s="14"/>
      <c r="H57" s="13">
        <v>-9000302.0</v>
      </c>
      <c r="I57" s="13">
        <v>302.0</v>
      </c>
      <c r="J57" s="13"/>
      <c r="K57" s="13">
        <v>9000000.0</v>
      </c>
      <c r="L57" s="14"/>
      <c r="M57" s="14"/>
      <c r="N57" s="14"/>
      <c r="O57" s="14"/>
      <c r="P57" s="14"/>
      <c r="Q57" s="14"/>
      <c r="R57" s="14">
        <f t="shared" si="1"/>
        <v>9000302</v>
      </c>
      <c r="S57" s="15">
        <f t="shared" si="2"/>
        <v>0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22.5" customHeight="1">
      <c r="A58" s="9">
        <v>45724.0</v>
      </c>
      <c r="B58" s="11" t="s">
        <v>244</v>
      </c>
      <c r="C58" s="16" t="s">
        <v>9</v>
      </c>
      <c r="D58" s="13" t="s">
        <v>24</v>
      </c>
      <c r="E58" s="13">
        <f t="shared" si="3"/>
        <v>-7400000</v>
      </c>
      <c r="F58" s="14"/>
      <c r="G58" s="14"/>
      <c r="H58" s="13">
        <v>-7400000.0</v>
      </c>
      <c r="I58" s="14"/>
      <c r="J58" s="14"/>
      <c r="K58" s="14"/>
      <c r="L58" s="14"/>
      <c r="M58" s="13"/>
      <c r="N58" s="14"/>
      <c r="O58" s="14"/>
      <c r="P58" s="14"/>
      <c r="Q58" s="14"/>
      <c r="R58" s="14">
        <f t="shared" si="1"/>
        <v>7400000</v>
      </c>
      <c r="S58" s="15">
        <f t="shared" si="2"/>
        <v>0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22.5" customHeight="1">
      <c r="A59" s="9">
        <v>45724.0</v>
      </c>
      <c r="B59" s="11" t="s">
        <v>245</v>
      </c>
      <c r="C59" s="16" t="s">
        <v>246</v>
      </c>
      <c r="D59" s="13" t="s">
        <v>24</v>
      </c>
      <c r="E59" s="13">
        <f t="shared" si="3"/>
        <v>2000000</v>
      </c>
      <c r="F59" s="13">
        <v>2000000.0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5">
        <f t="shared" si="1"/>
        <v>0</v>
      </c>
      <c r="S59" s="14">
        <f t="shared" si="2"/>
        <v>-2000000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22.5" customHeight="1">
      <c r="A60" s="9">
        <v>45726.0</v>
      </c>
      <c r="B60" s="11" t="s">
        <v>247</v>
      </c>
      <c r="C60" s="16" t="s">
        <v>237</v>
      </c>
      <c r="D60" s="13" t="s">
        <v>1</v>
      </c>
      <c r="E60" s="13">
        <f t="shared" si="3"/>
        <v>-2300000</v>
      </c>
      <c r="F60" s="14"/>
      <c r="G60" s="14"/>
      <c r="H60" s="13">
        <v>-2300000.0</v>
      </c>
      <c r="I60" s="14"/>
      <c r="J60" s="14"/>
      <c r="K60" s="14"/>
      <c r="L60" s="14"/>
      <c r="M60" s="13">
        <v>2300000.0</v>
      </c>
      <c r="N60" s="14"/>
      <c r="O60" s="14"/>
      <c r="P60" s="14"/>
      <c r="Q60" s="14"/>
      <c r="R60" s="14">
        <f t="shared" si="1"/>
        <v>2300000</v>
      </c>
      <c r="S60" s="15">
        <f t="shared" si="2"/>
        <v>0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22.5" customHeight="1">
      <c r="A61" s="9">
        <v>45726.0</v>
      </c>
      <c r="B61" s="11" t="s">
        <v>248</v>
      </c>
      <c r="C61" s="16" t="s">
        <v>249</v>
      </c>
      <c r="D61" s="13" t="s">
        <v>13</v>
      </c>
      <c r="E61" s="13">
        <f t="shared" si="3"/>
        <v>-675000</v>
      </c>
      <c r="F61" s="14"/>
      <c r="G61" s="14"/>
      <c r="H61" s="13">
        <v>-675000.0</v>
      </c>
      <c r="I61" s="14"/>
      <c r="J61" s="14"/>
      <c r="K61" s="14"/>
      <c r="L61" s="14"/>
      <c r="M61" s="13">
        <v>675000.0</v>
      </c>
      <c r="N61" s="14"/>
      <c r="O61" s="14"/>
      <c r="P61" s="14"/>
      <c r="Q61" s="14"/>
      <c r="R61" s="14">
        <f t="shared" si="1"/>
        <v>675000</v>
      </c>
      <c r="S61" s="15">
        <f t="shared" si="2"/>
        <v>0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22.5" customHeight="1">
      <c r="A62" s="9">
        <v>45726.0</v>
      </c>
      <c r="B62" s="11" t="s">
        <v>250</v>
      </c>
      <c r="C62" s="16" t="s">
        <v>80</v>
      </c>
      <c r="D62" s="13" t="s">
        <v>46</v>
      </c>
      <c r="E62" s="13">
        <f t="shared" si="3"/>
        <v>2300000</v>
      </c>
      <c r="F62" s="14"/>
      <c r="G62" s="14"/>
      <c r="H62" s="13">
        <v>2300000.0</v>
      </c>
      <c r="I62" s="14"/>
      <c r="J62" s="14"/>
      <c r="K62" s="14"/>
      <c r="L62" s="14"/>
      <c r="M62" s="14"/>
      <c r="N62" s="14"/>
      <c r="O62" s="14"/>
      <c r="P62" s="14"/>
      <c r="Q62" s="14"/>
      <c r="R62" s="15">
        <f t="shared" si="1"/>
        <v>0</v>
      </c>
      <c r="S62" s="14">
        <f t="shared" si="2"/>
        <v>-2300000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22.5" customHeight="1">
      <c r="A63" s="9">
        <v>45726.0</v>
      </c>
      <c r="B63" s="11" t="s">
        <v>251</v>
      </c>
      <c r="C63" s="16" t="s">
        <v>80</v>
      </c>
      <c r="D63" s="13" t="s">
        <v>46</v>
      </c>
      <c r="E63" s="13">
        <f t="shared" si="3"/>
        <v>2000000</v>
      </c>
      <c r="F63" s="14"/>
      <c r="G63" s="14"/>
      <c r="H63" s="13">
        <v>2000000.0</v>
      </c>
      <c r="I63" s="14"/>
      <c r="J63" s="14"/>
      <c r="K63" s="14"/>
      <c r="L63" s="14"/>
      <c r="M63" s="14"/>
      <c r="N63" s="14"/>
      <c r="O63" s="14"/>
      <c r="P63" s="14"/>
      <c r="Q63" s="14"/>
      <c r="R63" s="15">
        <f t="shared" si="1"/>
        <v>0</v>
      </c>
      <c r="S63" s="14">
        <f t="shared" si="2"/>
        <v>-2000000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22.5" customHeight="1">
      <c r="A64" s="9">
        <v>45726.0</v>
      </c>
      <c r="B64" s="11" t="s">
        <v>252</v>
      </c>
      <c r="C64" s="16" t="s">
        <v>9</v>
      </c>
      <c r="D64" s="21" t="s">
        <v>38</v>
      </c>
      <c r="E64" s="13">
        <f t="shared" si="3"/>
        <v>0</v>
      </c>
      <c r="F64" s="14"/>
      <c r="G64" s="14"/>
      <c r="H64" s="13">
        <v>-1239000.0</v>
      </c>
      <c r="I64" s="14"/>
      <c r="J64" s="13">
        <v>1239000.0</v>
      </c>
      <c r="K64" s="14"/>
      <c r="L64" s="14"/>
      <c r="M64" s="14"/>
      <c r="N64" s="14"/>
      <c r="O64" s="14"/>
      <c r="P64" s="14"/>
      <c r="Q64" s="14"/>
      <c r="R64" s="15">
        <f t="shared" si="1"/>
        <v>0</v>
      </c>
      <c r="S64" s="15">
        <f t="shared" si="2"/>
        <v>0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22.5" customHeight="1">
      <c r="A65" s="9">
        <v>45726.0</v>
      </c>
      <c r="B65" s="11" t="s">
        <v>253</v>
      </c>
      <c r="C65" s="16" t="s">
        <v>80</v>
      </c>
      <c r="D65" s="13" t="s">
        <v>38</v>
      </c>
      <c r="E65" s="13">
        <f t="shared" si="3"/>
        <v>0</v>
      </c>
      <c r="F65" s="13">
        <v>-2.5E7</v>
      </c>
      <c r="G65" s="14"/>
      <c r="H65" s="13">
        <v>2.5E7</v>
      </c>
      <c r="I65" s="14"/>
      <c r="J65" s="14"/>
      <c r="K65" s="14"/>
      <c r="L65" s="14"/>
      <c r="M65" s="13"/>
      <c r="N65" s="14"/>
      <c r="O65" s="14"/>
      <c r="P65" s="14"/>
      <c r="Q65" s="14"/>
      <c r="R65" s="15">
        <f t="shared" si="1"/>
        <v>0</v>
      </c>
      <c r="S65" s="15">
        <f t="shared" si="2"/>
        <v>0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22.5" customHeight="1">
      <c r="A66" s="9">
        <v>45731.0</v>
      </c>
      <c r="B66" s="11" t="s">
        <v>254</v>
      </c>
      <c r="C66" s="16" t="s">
        <v>255</v>
      </c>
      <c r="D66" s="13" t="s">
        <v>1</v>
      </c>
      <c r="E66" s="13">
        <f t="shared" si="3"/>
        <v>-3930000</v>
      </c>
      <c r="F66" s="14"/>
      <c r="G66" s="14"/>
      <c r="H66" s="13">
        <v>-3930000.0</v>
      </c>
      <c r="I66" s="14"/>
      <c r="J66" s="14"/>
      <c r="K66" s="14"/>
      <c r="L66" s="14"/>
      <c r="M66" s="14"/>
      <c r="N66" s="14"/>
      <c r="O66" s="14"/>
      <c r="P66" s="14"/>
      <c r="Q66" s="14"/>
      <c r="R66" s="14">
        <f t="shared" si="1"/>
        <v>3930000</v>
      </c>
      <c r="S66" s="15">
        <f t="shared" si="2"/>
        <v>0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22.5" customHeight="1">
      <c r="A67" s="9">
        <v>45731.0</v>
      </c>
      <c r="B67" s="11" t="s">
        <v>256</v>
      </c>
      <c r="C67" s="16" t="s">
        <v>75</v>
      </c>
      <c r="D67" s="13" t="s">
        <v>27</v>
      </c>
      <c r="E67" s="13">
        <f t="shared" si="3"/>
        <v>-3930000</v>
      </c>
      <c r="F67" s="14"/>
      <c r="G67" s="14"/>
      <c r="H67" s="13">
        <v>-3930000.0</v>
      </c>
      <c r="I67" s="14"/>
      <c r="J67" s="14"/>
      <c r="K67" s="14"/>
      <c r="L67" s="14"/>
      <c r="M67" s="14"/>
      <c r="N67" s="14"/>
      <c r="O67" s="14"/>
      <c r="P67" s="14"/>
      <c r="Q67" s="14"/>
      <c r="R67" s="14">
        <f t="shared" si="1"/>
        <v>3930000</v>
      </c>
      <c r="S67" s="15">
        <f t="shared" si="2"/>
        <v>0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22.5" customHeight="1">
      <c r="A68" s="9">
        <v>45731.0</v>
      </c>
      <c r="B68" s="11" t="s">
        <v>257</v>
      </c>
      <c r="C68" s="16" t="s">
        <v>87</v>
      </c>
      <c r="D68" s="21" t="s">
        <v>38</v>
      </c>
      <c r="E68" s="13">
        <f t="shared" si="3"/>
        <v>-300000</v>
      </c>
      <c r="F68" s="14"/>
      <c r="G68" s="14"/>
      <c r="H68" s="13">
        <v>-300000.0</v>
      </c>
      <c r="I68" s="14"/>
      <c r="J68" s="14"/>
      <c r="K68" s="14"/>
      <c r="L68" s="14"/>
      <c r="M68" s="14"/>
      <c r="N68" s="14"/>
      <c r="O68" s="14"/>
      <c r="P68" s="14"/>
      <c r="Q68" s="14"/>
      <c r="R68" s="14">
        <f t="shared" si="1"/>
        <v>300000</v>
      </c>
      <c r="S68" s="15">
        <f t="shared" si="2"/>
        <v>0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22.5" customHeight="1">
      <c r="A69" s="9">
        <v>45732.0</v>
      </c>
      <c r="B69" s="11" t="s">
        <v>258</v>
      </c>
      <c r="C69" s="16" t="s">
        <v>9</v>
      </c>
      <c r="D69" s="13" t="s">
        <v>25</v>
      </c>
      <c r="E69" s="13">
        <f t="shared" si="3"/>
        <v>-1500000</v>
      </c>
      <c r="F69" s="14"/>
      <c r="G69" s="14"/>
      <c r="H69" s="13">
        <v>-1500000.0</v>
      </c>
      <c r="I69" s="14"/>
      <c r="J69" s="14"/>
      <c r="K69" s="14"/>
      <c r="L69" s="14"/>
      <c r="M69" s="14"/>
      <c r="N69" s="13"/>
      <c r="O69" s="13">
        <v>1500000.0</v>
      </c>
      <c r="P69" s="14"/>
      <c r="Q69" s="14"/>
      <c r="R69" s="14">
        <f t="shared" si="1"/>
        <v>1500000</v>
      </c>
      <c r="S69" s="15">
        <f t="shared" si="2"/>
        <v>0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22.5" customHeight="1">
      <c r="A70" s="9">
        <v>45733.0</v>
      </c>
      <c r="B70" s="11" t="s">
        <v>259</v>
      </c>
      <c r="C70" s="16" t="s">
        <v>237</v>
      </c>
      <c r="D70" s="13" t="s">
        <v>1</v>
      </c>
      <c r="E70" s="13">
        <f t="shared" si="3"/>
        <v>-1202500</v>
      </c>
      <c r="F70" s="14"/>
      <c r="G70" s="14"/>
      <c r="H70" s="13">
        <v>-1202500.0</v>
      </c>
      <c r="I70" s="13">
        <v>2500.0</v>
      </c>
      <c r="J70" s="13"/>
      <c r="K70" s="14"/>
      <c r="L70" s="14"/>
      <c r="M70" s="13">
        <v>1200000.0</v>
      </c>
      <c r="N70" s="14"/>
      <c r="O70" s="14"/>
      <c r="P70" s="14"/>
      <c r="Q70" s="14"/>
      <c r="R70" s="14">
        <f t="shared" si="1"/>
        <v>1202500</v>
      </c>
      <c r="S70" s="15">
        <f t="shared" si="2"/>
        <v>0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22.5" customHeight="1">
      <c r="A71" s="9">
        <v>45734.0</v>
      </c>
      <c r="B71" s="11" t="s">
        <v>260</v>
      </c>
      <c r="C71" s="16" t="s">
        <v>75</v>
      </c>
      <c r="D71" s="13" t="s">
        <v>27</v>
      </c>
      <c r="E71" s="13">
        <f t="shared" si="3"/>
        <v>3930000</v>
      </c>
      <c r="F71" s="14"/>
      <c r="G71" s="14"/>
      <c r="H71" s="13">
        <v>3930000.0</v>
      </c>
      <c r="I71" s="14"/>
      <c r="J71" s="14"/>
      <c r="K71" s="14"/>
      <c r="L71" s="14"/>
      <c r="M71" s="14"/>
      <c r="N71" s="14"/>
      <c r="O71" s="14"/>
      <c r="P71" s="14"/>
      <c r="Q71" s="14"/>
      <c r="R71" s="15">
        <f t="shared" si="1"/>
        <v>0</v>
      </c>
      <c r="S71" s="14">
        <f t="shared" si="2"/>
        <v>-3930000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22.5" customHeight="1">
      <c r="A72" s="9">
        <v>45735.0</v>
      </c>
      <c r="B72" s="11" t="s">
        <v>261</v>
      </c>
      <c r="C72" s="16" t="s">
        <v>80</v>
      </c>
      <c r="D72" s="13" t="s">
        <v>46</v>
      </c>
      <c r="E72" s="13">
        <f t="shared" si="3"/>
        <v>-2300000</v>
      </c>
      <c r="F72" s="14"/>
      <c r="G72" s="14"/>
      <c r="H72" s="13">
        <v>-2300000.0</v>
      </c>
      <c r="I72" s="14"/>
      <c r="J72" s="14"/>
      <c r="K72" s="14"/>
      <c r="L72" s="14"/>
      <c r="M72" s="14"/>
      <c r="N72" s="14"/>
      <c r="O72" s="14"/>
      <c r="P72" s="14"/>
      <c r="Q72" s="14"/>
      <c r="R72" s="14">
        <f t="shared" si="1"/>
        <v>2300000</v>
      </c>
      <c r="S72" s="15">
        <f t="shared" si="2"/>
        <v>0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22.5" customHeight="1">
      <c r="A73" s="9">
        <v>45735.0</v>
      </c>
      <c r="B73" s="11" t="s">
        <v>262</v>
      </c>
      <c r="C73" s="16" t="s">
        <v>80</v>
      </c>
      <c r="D73" s="13" t="s">
        <v>46</v>
      </c>
      <c r="E73" s="13">
        <f t="shared" si="3"/>
        <v>-2000000</v>
      </c>
      <c r="F73" s="14"/>
      <c r="G73" s="14"/>
      <c r="H73" s="13">
        <v>-2000000.0</v>
      </c>
      <c r="I73" s="14"/>
      <c r="J73" s="14"/>
      <c r="K73" s="14"/>
      <c r="L73" s="14"/>
      <c r="M73" s="14"/>
      <c r="N73" s="14"/>
      <c r="O73" s="14"/>
      <c r="P73" s="14"/>
      <c r="Q73" s="14"/>
      <c r="R73" s="14">
        <f t="shared" si="1"/>
        <v>2000000</v>
      </c>
      <c r="S73" s="15">
        <f t="shared" si="2"/>
        <v>0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22.5" customHeight="1">
      <c r="A74" s="9">
        <v>45736.0</v>
      </c>
      <c r="B74" s="11" t="s">
        <v>263</v>
      </c>
      <c r="C74" s="16" t="s">
        <v>264</v>
      </c>
      <c r="D74" s="13" t="s">
        <v>24</v>
      </c>
      <c r="E74" s="13">
        <f t="shared" si="3"/>
        <v>-391460</v>
      </c>
      <c r="F74" s="14"/>
      <c r="G74" s="14"/>
      <c r="H74" s="13">
        <v>-391460.0</v>
      </c>
      <c r="I74" s="13">
        <v>2500.0</v>
      </c>
      <c r="J74" s="13"/>
      <c r="K74" s="14"/>
      <c r="L74" s="14"/>
      <c r="M74" s="13">
        <v>388960.0</v>
      </c>
      <c r="N74" s="14"/>
      <c r="O74" s="14"/>
      <c r="P74" s="14"/>
      <c r="Q74" s="14"/>
      <c r="R74" s="14">
        <f t="shared" si="1"/>
        <v>391460</v>
      </c>
      <c r="S74" s="15">
        <f t="shared" si="2"/>
        <v>0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22.5" customHeight="1">
      <c r="A75" s="9">
        <v>45736.0</v>
      </c>
      <c r="B75" s="11" t="s">
        <v>265</v>
      </c>
      <c r="C75" s="16" t="s">
        <v>77</v>
      </c>
      <c r="D75" s="13" t="s">
        <v>27</v>
      </c>
      <c r="E75" s="13">
        <f t="shared" si="3"/>
        <v>3500000</v>
      </c>
      <c r="F75" s="13">
        <v>3500000.0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5">
        <f t="shared" si="1"/>
        <v>0</v>
      </c>
      <c r="S75" s="14">
        <f t="shared" si="2"/>
        <v>-3500000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22.5" customHeight="1">
      <c r="A76" s="9">
        <v>45737.0</v>
      </c>
      <c r="B76" s="11" t="s">
        <v>266</v>
      </c>
      <c r="C76" s="16" t="s">
        <v>81</v>
      </c>
      <c r="D76" s="13" t="s">
        <v>15</v>
      </c>
      <c r="E76" s="13">
        <f t="shared" si="3"/>
        <v>-3000315</v>
      </c>
      <c r="F76" s="14"/>
      <c r="G76" s="14"/>
      <c r="H76" s="13">
        <v>-3000315.0</v>
      </c>
      <c r="I76" s="13">
        <v>315.0</v>
      </c>
      <c r="J76" s="14"/>
      <c r="K76" s="14"/>
      <c r="L76" s="14"/>
      <c r="M76" s="14"/>
      <c r="N76" s="14"/>
      <c r="O76" s="14"/>
      <c r="P76" s="14"/>
      <c r="Q76" s="14"/>
      <c r="R76" s="14">
        <f t="shared" si="1"/>
        <v>3000315</v>
      </c>
      <c r="S76" s="15">
        <f t="shared" si="2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22.5" customHeight="1">
      <c r="A77" s="9">
        <v>45737.0</v>
      </c>
      <c r="B77" s="11" t="s">
        <v>267</v>
      </c>
      <c r="C77" s="16" t="s">
        <v>268</v>
      </c>
      <c r="D77" s="13" t="s">
        <v>55</v>
      </c>
      <c r="E77" s="13">
        <f t="shared" si="3"/>
        <v>11000000</v>
      </c>
      <c r="F77" s="14"/>
      <c r="G77" s="14"/>
      <c r="H77" s="13">
        <v>1.1E7</v>
      </c>
      <c r="I77" s="14"/>
      <c r="J77" s="14"/>
      <c r="K77" s="14"/>
      <c r="L77" s="14"/>
      <c r="M77" s="14"/>
      <c r="N77" s="14"/>
      <c r="O77" s="14"/>
      <c r="P77" s="14"/>
      <c r="Q77" s="14"/>
      <c r="R77" s="15">
        <f t="shared" si="1"/>
        <v>0</v>
      </c>
      <c r="S77" s="14">
        <f t="shared" si="2"/>
        <v>-11000000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22.5" customHeight="1">
      <c r="A78" s="9">
        <v>45738.0</v>
      </c>
      <c r="B78" s="11" t="s">
        <v>269</v>
      </c>
      <c r="C78" s="16" t="s">
        <v>83</v>
      </c>
      <c r="D78" s="13" t="s">
        <v>15</v>
      </c>
      <c r="E78" s="13">
        <f t="shared" si="3"/>
        <v>-1000000</v>
      </c>
      <c r="F78" s="14"/>
      <c r="G78" s="14"/>
      <c r="H78" s="13">
        <v>-1000000.0</v>
      </c>
      <c r="I78" s="14"/>
      <c r="J78" s="14"/>
      <c r="K78" s="14"/>
      <c r="L78" s="14"/>
      <c r="M78" s="13">
        <v>1000000.0</v>
      </c>
      <c r="N78" s="14"/>
      <c r="O78" s="14"/>
      <c r="P78" s="14"/>
      <c r="Q78" s="14"/>
      <c r="R78" s="14">
        <f t="shared" si="1"/>
        <v>1000000</v>
      </c>
      <c r="S78" s="15">
        <f t="shared" si="2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22.5" customHeight="1">
      <c r="A79" s="9">
        <v>45740.0</v>
      </c>
      <c r="B79" s="11" t="s">
        <v>270</v>
      </c>
      <c r="C79" s="16" t="s">
        <v>237</v>
      </c>
      <c r="D79" s="13" t="s">
        <v>13</v>
      </c>
      <c r="E79" s="13">
        <f t="shared" si="3"/>
        <v>-4920300</v>
      </c>
      <c r="F79" s="14"/>
      <c r="G79" s="14"/>
      <c r="H79" s="13">
        <v>-4920300.0</v>
      </c>
      <c r="I79" s="13">
        <v>300.0</v>
      </c>
      <c r="J79" s="13"/>
      <c r="K79" s="14"/>
      <c r="L79" s="14"/>
      <c r="M79" s="13">
        <v>4920000.0</v>
      </c>
      <c r="N79" s="14"/>
      <c r="O79" s="14"/>
      <c r="P79" s="14"/>
      <c r="Q79" s="14"/>
      <c r="R79" s="14">
        <f t="shared" si="1"/>
        <v>4920300</v>
      </c>
      <c r="S79" s="15">
        <f t="shared" si="2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22.5" customHeight="1">
      <c r="A80" s="9">
        <v>45742.0</v>
      </c>
      <c r="B80" s="11" t="s">
        <v>271</v>
      </c>
      <c r="C80" s="16" t="s">
        <v>264</v>
      </c>
      <c r="D80" s="13" t="s">
        <v>24</v>
      </c>
      <c r="E80" s="13">
        <f t="shared" si="3"/>
        <v>-75201</v>
      </c>
      <c r="F80" s="14"/>
      <c r="G80" s="14"/>
      <c r="H80" s="13">
        <v>-75201.0</v>
      </c>
      <c r="I80" s="13">
        <v>201.0</v>
      </c>
      <c r="J80" s="13"/>
      <c r="K80" s="14"/>
      <c r="L80" s="14"/>
      <c r="M80" s="13">
        <v>75000.0</v>
      </c>
      <c r="N80" s="14"/>
      <c r="O80" s="14"/>
      <c r="P80" s="14"/>
      <c r="Q80" s="14"/>
      <c r="R80" s="14">
        <f t="shared" si="1"/>
        <v>75201</v>
      </c>
      <c r="S80" s="15">
        <f t="shared" si="2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22.5" customHeight="1">
      <c r="A81" s="25">
        <v>45742.0</v>
      </c>
      <c r="B81" s="26" t="s">
        <v>272</v>
      </c>
      <c r="C81" s="27" t="s">
        <v>237</v>
      </c>
      <c r="D81" s="28" t="s">
        <v>1</v>
      </c>
      <c r="E81" s="13">
        <f t="shared" si="3"/>
        <v>-5450300</v>
      </c>
      <c r="F81" s="29"/>
      <c r="G81" s="29"/>
      <c r="H81" s="29">
        <v>-5450300.0</v>
      </c>
      <c r="I81" s="29">
        <v>300.0</v>
      </c>
      <c r="J81" s="29"/>
      <c r="K81" s="29"/>
      <c r="L81" s="29"/>
      <c r="M81" s="30">
        <v>5450000.0</v>
      </c>
      <c r="N81" s="14"/>
      <c r="O81" s="14"/>
      <c r="P81" s="14"/>
      <c r="Q81" s="14"/>
      <c r="R81" s="14">
        <f t="shared" si="1"/>
        <v>5450300</v>
      </c>
      <c r="S81" s="15">
        <f t="shared" si="2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22.5" customHeight="1">
      <c r="A82" s="9">
        <v>45742.0</v>
      </c>
      <c r="B82" s="11" t="s">
        <v>273</v>
      </c>
      <c r="C82" s="16" t="s">
        <v>274</v>
      </c>
      <c r="D82" s="13" t="s">
        <v>44</v>
      </c>
      <c r="E82" s="13">
        <f t="shared" si="3"/>
        <v>-26250</v>
      </c>
      <c r="F82" s="14"/>
      <c r="G82" s="14"/>
      <c r="H82" s="13">
        <v>-26250.0</v>
      </c>
      <c r="I82" s="14"/>
      <c r="J82" s="14"/>
      <c r="K82" s="14"/>
      <c r="L82" s="14"/>
      <c r="M82" s="14"/>
      <c r="N82" s="14"/>
      <c r="O82" s="14"/>
      <c r="P82" s="14"/>
      <c r="Q82" s="14"/>
      <c r="R82" s="14">
        <f t="shared" si="1"/>
        <v>26250</v>
      </c>
      <c r="S82" s="15">
        <f t="shared" si="2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22.5" customHeight="1">
      <c r="A83" s="9">
        <v>45742.0</v>
      </c>
      <c r="B83" s="11" t="s">
        <v>275</v>
      </c>
      <c r="C83" s="16" t="s">
        <v>80</v>
      </c>
      <c r="D83" s="13" t="s">
        <v>38</v>
      </c>
      <c r="E83" s="13">
        <f t="shared" si="3"/>
        <v>0</v>
      </c>
      <c r="F83" s="13">
        <v>-1.5E7</v>
      </c>
      <c r="G83" s="14"/>
      <c r="H83" s="13">
        <v>1.5E7</v>
      </c>
      <c r="I83" s="14"/>
      <c r="J83" s="14"/>
      <c r="K83" s="14"/>
      <c r="L83" s="14"/>
      <c r="M83" s="14"/>
      <c r="N83" s="14"/>
      <c r="O83" s="14"/>
      <c r="P83" s="14"/>
      <c r="Q83" s="14"/>
      <c r="R83" s="15">
        <f t="shared" si="1"/>
        <v>0</v>
      </c>
      <c r="S83" s="15">
        <f t="shared" si="2"/>
        <v>0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22.5" customHeight="1">
      <c r="A84" s="9">
        <v>45742.0</v>
      </c>
      <c r="B84" s="11" t="s">
        <v>276</v>
      </c>
      <c r="C84" s="16" t="s">
        <v>87</v>
      </c>
      <c r="D84" s="13" t="s">
        <v>40</v>
      </c>
      <c r="E84" s="13">
        <f t="shared" si="3"/>
        <v>200000</v>
      </c>
      <c r="F84" s="14"/>
      <c r="G84" s="14"/>
      <c r="H84" s="13">
        <v>200000.0</v>
      </c>
      <c r="I84" s="14"/>
      <c r="J84" s="14"/>
      <c r="K84" s="14"/>
      <c r="L84" s="14"/>
      <c r="M84" s="14"/>
      <c r="N84" s="14"/>
      <c r="O84" s="14"/>
      <c r="P84" s="14"/>
      <c r="Q84" s="14"/>
      <c r="R84" s="15">
        <f t="shared" si="1"/>
        <v>0</v>
      </c>
      <c r="S84" s="14">
        <f t="shared" si="2"/>
        <v>-200000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22.5" customHeight="1">
      <c r="A85" s="9">
        <v>45743.0</v>
      </c>
      <c r="B85" s="11" t="s">
        <v>277</v>
      </c>
      <c r="C85" s="16" t="s">
        <v>264</v>
      </c>
      <c r="D85" s="13" t="s">
        <v>24</v>
      </c>
      <c r="E85" s="13">
        <f t="shared" si="3"/>
        <v>-1711550</v>
      </c>
      <c r="F85" s="14"/>
      <c r="G85" s="14"/>
      <c r="H85" s="13">
        <f>-(1709050+2500)</f>
        <v>-1711550</v>
      </c>
      <c r="I85" s="13">
        <v>2500.0</v>
      </c>
      <c r="J85" s="14"/>
      <c r="K85" s="14"/>
      <c r="L85" s="14"/>
      <c r="M85" s="14"/>
      <c r="N85" s="14"/>
      <c r="O85" s="14"/>
      <c r="P85" s="14"/>
      <c r="Q85" s="14"/>
      <c r="R85" s="14">
        <f t="shared" si="1"/>
        <v>1711550</v>
      </c>
      <c r="S85" s="15">
        <f t="shared" si="2"/>
        <v>0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22.5" customHeight="1">
      <c r="A86" s="9">
        <v>45743.0</v>
      </c>
      <c r="B86" s="11" t="s">
        <v>228</v>
      </c>
      <c r="C86" s="16" t="s">
        <v>229</v>
      </c>
      <c r="D86" s="13" t="s">
        <v>58</v>
      </c>
      <c r="E86" s="13">
        <f t="shared" si="3"/>
        <v>11716688</v>
      </c>
      <c r="F86" s="13">
        <v>1.1716688E7</v>
      </c>
      <c r="G86" s="14"/>
      <c r="H86" s="13"/>
      <c r="I86" s="14"/>
      <c r="J86" s="14"/>
      <c r="K86" s="14"/>
      <c r="L86" s="14"/>
      <c r="M86" s="14"/>
      <c r="N86" s="14"/>
      <c r="O86" s="14"/>
      <c r="P86" s="14"/>
      <c r="Q86" s="14"/>
      <c r="R86" s="15">
        <f t="shared" si="1"/>
        <v>0</v>
      </c>
      <c r="S86" s="14">
        <f t="shared" si="2"/>
        <v>-11716688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22.5" customHeight="1">
      <c r="A87" s="9">
        <v>45743.0</v>
      </c>
      <c r="B87" s="11" t="s">
        <v>278</v>
      </c>
      <c r="C87" s="16" t="s">
        <v>62</v>
      </c>
      <c r="D87" s="13" t="s">
        <v>58</v>
      </c>
      <c r="E87" s="13">
        <f t="shared" si="3"/>
        <v>-5336798</v>
      </c>
      <c r="F87" s="14"/>
      <c r="G87" s="14"/>
      <c r="H87" s="13">
        <v>-5336798.0</v>
      </c>
      <c r="I87" s="14"/>
      <c r="J87" s="14"/>
      <c r="K87" s="14"/>
      <c r="L87" s="14"/>
      <c r="M87" s="14"/>
      <c r="N87" s="14"/>
      <c r="O87" s="14"/>
      <c r="P87" s="14"/>
      <c r="Q87" s="14"/>
      <c r="R87" s="14">
        <f t="shared" si="1"/>
        <v>5336798</v>
      </c>
      <c r="S87" s="15">
        <f t="shared" si="2"/>
        <v>0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22.5" customHeight="1">
      <c r="A88" s="9">
        <v>45743.0</v>
      </c>
      <c r="B88" s="11" t="s">
        <v>279</v>
      </c>
      <c r="C88" s="16" t="s">
        <v>231</v>
      </c>
      <c r="D88" s="13" t="s">
        <v>13</v>
      </c>
      <c r="E88" s="13">
        <f t="shared" si="3"/>
        <v>-1260000</v>
      </c>
      <c r="F88" s="14"/>
      <c r="G88" s="14"/>
      <c r="H88" s="13">
        <v>-1260000.0</v>
      </c>
      <c r="I88" s="14"/>
      <c r="J88" s="14"/>
      <c r="K88" s="14"/>
      <c r="L88" s="14"/>
      <c r="M88" s="13">
        <v>1260000.0</v>
      </c>
      <c r="N88" s="14"/>
      <c r="O88" s="14"/>
      <c r="P88" s="14"/>
      <c r="Q88" s="14"/>
      <c r="R88" s="14">
        <f t="shared" si="1"/>
        <v>1260000</v>
      </c>
      <c r="S88" s="15">
        <f t="shared" si="2"/>
        <v>0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22.5" customHeight="1">
      <c r="A89" s="9">
        <v>45743.0</v>
      </c>
      <c r="B89" s="11" t="s">
        <v>280</v>
      </c>
      <c r="C89" s="16" t="s">
        <v>281</v>
      </c>
      <c r="D89" s="13" t="s">
        <v>40</v>
      </c>
      <c r="E89" s="13">
        <f t="shared" si="3"/>
        <v>-200238</v>
      </c>
      <c r="F89" s="14"/>
      <c r="G89" s="14"/>
      <c r="H89" s="13">
        <v>-200238.0</v>
      </c>
      <c r="I89" s="13">
        <v>238.0</v>
      </c>
      <c r="J89" s="13"/>
      <c r="K89" s="14"/>
      <c r="L89" s="14"/>
      <c r="M89" s="14"/>
      <c r="N89" s="13"/>
      <c r="O89" s="13">
        <v>200000.0</v>
      </c>
      <c r="P89" s="14"/>
      <c r="Q89" s="14"/>
      <c r="R89" s="14">
        <f t="shared" si="1"/>
        <v>200238</v>
      </c>
      <c r="S89" s="15">
        <f t="shared" si="2"/>
        <v>0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22.5" customHeight="1">
      <c r="A90" s="9">
        <v>45744.0</v>
      </c>
      <c r="B90" s="11" t="s">
        <v>282</v>
      </c>
      <c r="C90" s="16" t="s">
        <v>283</v>
      </c>
      <c r="D90" s="13" t="s">
        <v>40</v>
      </c>
      <c r="E90" s="13">
        <f t="shared" si="3"/>
        <v>200000</v>
      </c>
      <c r="F90" s="13">
        <v>200000.0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5">
        <f t="shared" si="1"/>
        <v>0</v>
      </c>
      <c r="S90" s="14">
        <f t="shared" si="2"/>
        <v>-200000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22.5" customHeight="1">
      <c r="A91" s="9">
        <v>45744.0</v>
      </c>
      <c r="B91" s="11" t="s">
        <v>284</v>
      </c>
      <c r="C91" s="16" t="s">
        <v>283</v>
      </c>
      <c r="D91" s="13" t="s">
        <v>40</v>
      </c>
      <c r="E91" s="13">
        <f t="shared" si="3"/>
        <v>-200000</v>
      </c>
      <c r="F91" s="14"/>
      <c r="G91" s="14"/>
      <c r="H91" s="13">
        <v>-200000.0</v>
      </c>
      <c r="I91" s="14"/>
      <c r="J91" s="14"/>
      <c r="K91" s="14"/>
      <c r="L91" s="14"/>
      <c r="M91" s="14"/>
      <c r="N91" s="14"/>
      <c r="O91" s="14"/>
      <c r="P91" s="14"/>
      <c r="Q91" s="14"/>
      <c r="R91" s="14">
        <f t="shared" si="1"/>
        <v>200000</v>
      </c>
      <c r="S91" s="15">
        <f t="shared" si="2"/>
        <v>0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22.5" customHeight="1">
      <c r="A92" s="9">
        <v>45744.0</v>
      </c>
      <c r="B92" s="11" t="s">
        <v>285</v>
      </c>
      <c r="C92" s="16" t="s">
        <v>285</v>
      </c>
      <c r="D92" s="18"/>
      <c r="E92" s="13">
        <f t="shared" si="3"/>
        <v>-301000</v>
      </c>
      <c r="F92" s="13"/>
      <c r="G92" s="14"/>
      <c r="H92" s="13">
        <v>-301000.0</v>
      </c>
      <c r="I92" s="14"/>
      <c r="J92" s="14"/>
      <c r="K92" s="14"/>
      <c r="L92" s="14"/>
      <c r="M92" s="14"/>
      <c r="N92" s="14"/>
      <c r="O92" s="14"/>
      <c r="P92" s="14"/>
      <c r="Q92" s="14"/>
      <c r="R92" s="14">
        <f t="shared" si="1"/>
        <v>301000</v>
      </c>
      <c r="S92" s="15">
        <f t="shared" si="2"/>
        <v>0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22.5" customHeight="1">
      <c r="A93" s="9">
        <v>45746.0</v>
      </c>
      <c r="B93" s="11" t="s">
        <v>286</v>
      </c>
      <c r="C93" s="16" t="s">
        <v>287</v>
      </c>
      <c r="D93" s="13" t="s">
        <v>28</v>
      </c>
      <c r="E93" s="13">
        <f t="shared" si="3"/>
        <v>-2500314</v>
      </c>
      <c r="F93" s="14"/>
      <c r="G93" s="14"/>
      <c r="H93" s="13">
        <v>-2500314.0</v>
      </c>
      <c r="I93" s="13">
        <v>314.0</v>
      </c>
      <c r="J93" s="13"/>
      <c r="K93" s="14"/>
      <c r="L93" s="14"/>
      <c r="M93" s="14"/>
      <c r="N93" s="13"/>
      <c r="O93" s="13">
        <v>2500000.0</v>
      </c>
      <c r="P93" s="14"/>
      <c r="Q93" s="14"/>
      <c r="R93" s="14">
        <f t="shared" si="1"/>
        <v>2500314</v>
      </c>
      <c r="S93" s="15">
        <f t="shared" si="2"/>
        <v>0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22.5" customHeight="1">
      <c r="A94" s="9">
        <v>45757.0</v>
      </c>
      <c r="B94" s="11" t="s">
        <v>288</v>
      </c>
      <c r="C94" s="16" t="s">
        <v>231</v>
      </c>
      <c r="D94" s="13" t="s">
        <v>25</v>
      </c>
      <c r="E94" s="13">
        <f t="shared" si="3"/>
        <v>-1500000</v>
      </c>
      <c r="F94" s="14"/>
      <c r="G94" s="14"/>
      <c r="H94" s="13">
        <v>-1500000.0</v>
      </c>
      <c r="I94" s="14"/>
      <c r="J94" s="14"/>
      <c r="K94" s="14"/>
      <c r="L94" s="14"/>
      <c r="M94" s="14"/>
      <c r="N94" s="13"/>
      <c r="O94" s="13">
        <v>1500000.0</v>
      </c>
      <c r="P94" s="14"/>
      <c r="Q94" s="14"/>
      <c r="R94" s="14">
        <f t="shared" si="1"/>
        <v>1500000</v>
      </c>
      <c r="S94" s="15">
        <f t="shared" si="2"/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22.5" customHeight="1">
      <c r="A95" s="9">
        <v>45757.0</v>
      </c>
      <c r="B95" s="11" t="s">
        <v>289</v>
      </c>
      <c r="C95" s="16" t="s">
        <v>231</v>
      </c>
      <c r="D95" s="13" t="s">
        <v>32</v>
      </c>
      <c r="E95" s="13">
        <f t="shared" si="3"/>
        <v>-1258000</v>
      </c>
      <c r="F95" s="14"/>
      <c r="G95" s="14"/>
      <c r="H95" s="13">
        <v>-1258000.0</v>
      </c>
      <c r="I95" s="14"/>
      <c r="J95" s="14"/>
      <c r="K95" s="14"/>
      <c r="L95" s="14"/>
      <c r="M95" s="13">
        <v>1258000.0</v>
      </c>
      <c r="N95" s="13"/>
      <c r="O95" s="13"/>
      <c r="P95" s="14"/>
      <c r="Q95" s="14"/>
      <c r="R95" s="14">
        <f t="shared" si="1"/>
        <v>1258000</v>
      </c>
      <c r="S95" s="15">
        <f t="shared" si="2"/>
        <v>0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22.5" customHeight="1">
      <c r="A96" s="9">
        <v>45758.0</v>
      </c>
      <c r="B96" s="11" t="s">
        <v>290</v>
      </c>
      <c r="C96" s="16" t="s">
        <v>291</v>
      </c>
      <c r="D96" s="13" t="s">
        <v>13</v>
      </c>
      <c r="E96" s="13">
        <f t="shared" si="3"/>
        <v>-202500</v>
      </c>
      <c r="F96" s="14"/>
      <c r="G96" s="14"/>
      <c r="H96" s="13">
        <v>-202500.0</v>
      </c>
      <c r="I96" s="13">
        <v>2500.0</v>
      </c>
      <c r="J96" s="13"/>
      <c r="K96" s="14"/>
      <c r="L96" s="14"/>
      <c r="M96" s="13">
        <v>200000.0</v>
      </c>
      <c r="N96" s="14"/>
      <c r="O96" s="14"/>
      <c r="P96" s="14"/>
      <c r="Q96" s="14"/>
      <c r="R96" s="14">
        <f t="shared" si="1"/>
        <v>202500</v>
      </c>
      <c r="S96" s="15">
        <f t="shared" si="2"/>
        <v>0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22.5" customHeight="1">
      <c r="A97" s="9">
        <v>45759.0</v>
      </c>
      <c r="B97" s="11" t="s">
        <v>292</v>
      </c>
      <c r="C97" s="16" t="s">
        <v>231</v>
      </c>
      <c r="D97" s="13" t="s">
        <v>13</v>
      </c>
      <c r="E97" s="13">
        <f t="shared" si="3"/>
        <v>-392000</v>
      </c>
      <c r="F97" s="14"/>
      <c r="G97" s="14"/>
      <c r="H97" s="14"/>
      <c r="I97" s="14"/>
      <c r="J97" s="13">
        <v>-392000.0</v>
      </c>
      <c r="K97" s="14"/>
      <c r="L97" s="14"/>
      <c r="M97" s="13">
        <v>392000.0</v>
      </c>
      <c r="N97" s="14"/>
      <c r="O97" s="14"/>
      <c r="P97" s="14"/>
      <c r="Q97" s="14"/>
      <c r="R97" s="14">
        <f t="shared" si="1"/>
        <v>392000</v>
      </c>
      <c r="S97" s="15">
        <f t="shared" si="2"/>
        <v>0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22.5" customHeight="1">
      <c r="A98" s="9">
        <v>45760.0</v>
      </c>
      <c r="B98" s="11" t="s">
        <v>293</v>
      </c>
      <c r="C98" s="16" t="s">
        <v>231</v>
      </c>
      <c r="D98" s="13" t="s">
        <v>13</v>
      </c>
      <c r="E98" s="13">
        <f t="shared" si="3"/>
        <v>-446000</v>
      </c>
      <c r="F98" s="14"/>
      <c r="G98" s="14"/>
      <c r="H98" s="14"/>
      <c r="I98" s="14"/>
      <c r="J98" s="13">
        <v>-446000.0</v>
      </c>
      <c r="K98" s="14"/>
      <c r="L98" s="14"/>
      <c r="M98" s="13">
        <v>446000.0</v>
      </c>
      <c r="N98" s="14"/>
      <c r="O98" s="14"/>
      <c r="P98" s="14"/>
      <c r="Q98" s="14"/>
      <c r="R98" s="14">
        <f t="shared" si="1"/>
        <v>446000</v>
      </c>
      <c r="S98" s="15">
        <f t="shared" si="2"/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22.5" customHeight="1">
      <c r="A99" s="9">
        <v>45764.0</v>
      </c>
      <c r="B99" s="11" t="s">
        <v>294</v>
      </c>
      <c r="C99" s="16" t="s">
        <v>74</v>
      </c>
      <c r="D99" s="13" t="s">
        <v>33</v>
      </c>
      <c r="E99" s="13">
        <f t="shared" si="3"/>
        <v>-3500000</v>
      </c>
      <c r="F99" s="14"/>
      <c r="G99" s="14"/>
      <c r="H99" s="13">
        <v>-3500000.0</v>
      </c>
      <c r="I99" s="14"/>
      <c r="J99" s="14"/>
      <c r="K99" s="14"/>
      <c r="L99" s="14"/>
      <c r="M99" s="14"/>
      <c r="N99" s="13"/>
      <c r="O99" s="13"/>
      <c r="P99" s="14"/>
      <c r="Q99" s="14"/>
      <c r="R99" s="14">
        <f t="shared" si="1"/>
        <v>3500000</v>
      </c>
      <c r="S99" s="15">
        <f t="shared" si="2"/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22.5" customHeight="1">
      <c r="A100" s="9">
        <v>45765.0</v>
      </c>
      <c r="B100" s="11" t="s">
        <v>295</v>
      </c>
      <c r="C100" s="16" t="s">
        <v>231</v>
      </c>
      <c r="D100" s="13" t="s">
        <v>24</v>
      </c>
      <c r="E100" s="13">
        <f t="shared" si="3"/>
        <v>-261000</v>
      </c>
      <c r="F100" s="14"/>
      <c r="G100" s="14"/>
      <c r="H100" s="14"/>
      <c r="I100" s="14"/>
      <c r="J100" s="14">
        <f>-sum(95000,40000,126000)</f>
        <v>-261000</v>
      </c>
      <c r="K100" s="14"/>
      <c r="L100" s="14"/>
      <c r="M100" s="14"/>
      <c r="N100" s="13"/>
      <c r="O100" s="13">
        <f>sum(95000,40000,126000)</f>
        <v>261000</v>
      </c>
      <c r="P100" s="14"/>
      <c r="Q100" s="14"/>
      <c r="R100" s="14">
        <f t="shared" si="1"/>
        <v>261000</v>
      </c>
      <c r="S100" s="15">
        <f t="shared" si="2"/>
        <v>0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22.5" customHeight="1">
      <c r="A101" s="9">
        <v>45766.0</v>
      </c>
      <c r="B101" s="11" t="s">
        <v>296</v>
      </c>
      <c r="C101" s="16" t="s">
        <v>231</v>
      </c>
      <c r="D101" s="13" t="s">
        <v>24</v>
      </c>
      <c r="E101" s="13">
        <f t="shared" si="3"/>
        <v>-207000</v>
      </c>
      <c r="F101" s="14"/>
      <c r="G101" s="14"/>
      <c r="H101" s="14"/>
      <c r="I101" s="14"/>
      <c r="J101" s="13">
        <v>-207000.0</v>
      </c>
      <c r="K101" s="14"/>
      <c r="L101" s="14"/>
      <c r="M101" s="14"/>
      <c r="N101" s="13"/>
      <c r="O101" s="13">
        <v>207000.0</v>
      </c>
      <c r="P101" s="14"/>
      <c r="Q101" s="14"/>
      <c r="R101" s="14">
        <f t="shared" si="1"/>
        <v>207000</v>
      </c>
      <c r="S101" s="15">
        <f t="shared" si="2"/>
        <v>0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22.5" customHeight="1">
      <c r="A102" s="9">
        <v>45766.0</v>
      </c>
      <c r="B102" s="11" t="s">
        <v>297</v>
      </c>
      <c r="C102" s="16" t="s">
        <v>231</v>
      </c>
      <c r="D102" s="13" t="s">
        <v>13</v>
      </c>
      <c r="E102" s="13">
        <f t="shared" si="3"/>
        <v>-1410000</v>
      </c>
      <c r="F102" s="14"/>
      <c r="G102" s="14"/>
      <c r="H102" s="14"/>
      <c r="I102" s="14"/>
      <c r="J102" s="14">
        <f>-sum(300000,330000,697000,68000,15000)</f>
        <v>-1410000</v>
      </c>
      <c r="K102" s="14"/>
      <c r="L102" s="14"/>
      <c r="M102" s="14">
        <f>sum(300000,330000,697000,68000,15000)</f>
        <v>1410000</v>
      </c>
      <c r="N102" s="14"/>
      <c r="O102" s="14"/>
      <c r="P102" s="14"/>
      <c r="Q102" s="14"/>
      <c r="R102" s="14">
        <f t="shared" si="1"/>
        <v>1410000</v>
      </c>
      <c r="S102" s="15">
        <f t="shared" si="2"/>
        <v>0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22.5" customHeight="1">
      <c r="A103" s="9">
        <v>45767.0</v>
      </c>
      <c r="B103" s="11" t="s">
        <v>298</v>
      </c>
      <c r="C103" s="16" t="s">
        <v>231</v>
      </c>
      <c r="D103" s="13" t="s">
        <v>24</v>
      </c>
      <c r="E103" s="13">
        <f t="shared" si="3"/>
        <v>-351000</v>
      </c>
      <c r="F103" s="14"/>
      <c r="G103" s="14"/>
      <c r="H103" s="14"/>
      <c r="I103" s="14"/>
      <c r="J103" s="14">
        <f>-sum(151000,200000)</f>
        <v>-351000</v>
      </c>
      <c r="K103" s="14"/>
      <c r="L103" s="14"/>
      <c r="M103" s="14">
        <f>sum(151000,200000)</f>
        <v>351000</v>
      </c>
      <c r="N103" s="14"/>
      <c r="O103" s="14"/>
      <c r="P103" s="14"/>
      <c r="Q103" s="14"/>
      <c r="R103" s="14">
        <f t="shared" si="1"/>
        <v>351000</v>
      </c>
      <c r="S103" s="15">
        <f t="shared" si="2"/>
        <v>0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22.5" customHeight="1">
      <c r="A104" s="9">
        <v>45767.0</v>
      </c>
      <c r="B104" s="11" t="s">
        <v>299</v>
      </c>
      <c r="C104" s="16" t="s">
        <v>237</v>
      </c>
      <c r="D104" s="13" t="s">
        <v>15</v>
      </c>
      <c r="E104" s="13">
        <f t="shared" si="3"/>
        <v>-500219</v>
      </c>
      <c r="F104" s="14"/>
      <c r="G104" s="14"/>
      <c r="H104" s="13">
        <v>-500219.0</v>
      </c>
      <c r="I104" s="13">
        <v>219.0</v>
      </c>
      <c r="J104" s="14"/>
      <c r="K104" s="14"/>
      <c r="L104" s="14"/>
      <c r="M104" s="14"/>
      <c r="N104" s="14"/>
      <c r="O104" s="14"/>
      <c r="P104" s="13">
        <v>500000.0</v>
      </c>
      <c r="Q104" s="14"/>
      <c r="R104" s="14">
        <f t="shared" si="1"/>
        <v>500219</v>
      </c>
      <c r="S104" s="15">
        <f t="shared" si="2"/>
        <v>0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22.5" customHeight="1">
      <c r="A105" s="9">
        <v>45768.0</v>
      </c>
      <c r="B105" s="11" t="s">
        <v>300</v>
      </c>
      <c r="C105" s="16" t="s">
        <v>231</v>
      </c>
      <c r="D105" s="13" t="s">
        <v>38</v>
      </c>
      <c r="E105" s="13">
        <f t="shared" si="3"/>
        <v>0</v>
      </c>
      <c r="F105" s="14"/>
      <c r="G105" s="14"/>
      <c r="H105" s="13">
        <v>-3067000.0</v>
      </c>
      <c r="I105" s="14"/>
      <c r="J105" s="13">
        <v>3067000.0</v>
      </c>
      <c r="K105" s="14"/>
      <c r="L105" s="14"/>
      <c r="M105" s="14"/>
      <c r="N105" s="14"/>
      <c r="O105" s="14"/>
      <c r="P105" s="14"/>
      <c r="Q105" s="14"/>
      <c r="R105" s="15">
        <f t="shared" si="1"/>
        <v>0</v>
      </c>
      <c r="S105" s="15">
        <f t="shared" si="2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22.5" customHeight="1">
      <c r="A106" s="9">
        <v>45770.0</v>
      </c>
      <c r="B106" s="11" t="s">
        <v>301</v>
      </c>
      <c r="C106" s="16" t="s">
        <v>87</v>
      </c>
      <c r="D106" s="21" t="s">
        <v>40</v>
      </c>
      <c r="E106" s="13">
        <f t="shared" si="3"/>
        <v>600000</v>
      </c>
      <c r="F106" s="14"/>
      <c r="G106" s="14"/>
      <c r="H106" s="13">
        <v>600000.0</v>
      </c>
      <c r="I106" s="13"/>
      <c r="J106" s="14"/>
      <c r="K106" s="14"/>
      <c r="L106" s="14"/>
      <c r="M106" s="14"/>
      <c r="N106" s="14"/>
      <c r="O106" s="14"/>
      <c r="P106" s="14"/>
      <c r="Q106" s="14"/>
      <c r="R106" s="15">
        <f t="shared" si="1"/>
        <v>0</v>
      </c>
      <c r="S106" s="14">
        <f t="shared" si="2"/>
        <v>-600000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22.5" customHeight="1">
      <c r="A107" s="9">
        <v>45771.0</v>
      </c>
      <c r="B107" s="11" t="s">
        <v>301</v>
      </c>
      <c r="C107" s="16" t="s">
        <v>302</v>
      </c>
      <c r="D107" s="21" t="s">
        <v>40</v>
      </c>
      <c r="E107" s="13">
        <f t="shared" si="3"/>
        <v>-600203</v>
      </c>
      <c r="F107" s="14"/>
      <c r="G107" s="14"/>
      <c r="H107" s="13">
        <v>-600203.0</v>
      </c>
      <c r="I107" s="13">
        <v>203.0</v>
      </c>
      <c r="J107" s="14"/>
      <c r="K107" s="14"/>
      <c r="L107" s="14"/>
      <c r="M107" s="14"/>
      <c r="N107" s="14"/>
      <c r="O107" s="14"/>
      <c r="P107" s="14"/>
      <c r="Q107" s="14"/>
      <c r="R107" s="14">
        <f t="shared" si="1"/>
        <v>600203</v>
      </c>
      <c r="S107" s="15">
        <f t="shared" si="2"/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22.5" customHeight="1">
      <c r="A108" s="9">
        <v>45771.0</v>
      </c>
      <c r="B108" s="11" t="s">
        <v>303</v>
      </c>
      <c r="C108" s="16" t="s">
        <v>304</v>
      </c>
      <c r="D108" s="13" t="s">
        <v>56</v>
      </c>
      <c r="E108" s="13">
        <f t="shared" si="3"/>
        <v>-3000307</v>
      </c>
      <c r="F108" s="14"/>
      <c r="G108" s="14"/>
      <c r="H108" s="13">
        <v>-3000307.0</v>
      </c>
      <c r="I108" s="13">
        <v>307.0</v>
      </c>
      <c r="J108" s="14"/>
      <c r="K108" s="13">
        <v>3000000.0</v>
      </c>
      <c r="L108" s="14"/>
      <c r="M108" s="14"/>
      <c r="N108" s="14"/>
      <c r="O108" s="14"/>
      <c r="P108" s="14"/>
      <c r="Q108" s="14"/>
      <c r="R108" s="14">
        <f t="shared" si="1"/>
        <v>3000307</v>
      </c>
      <c r="S108" s="15">
        <f t="shared" si="2"/>
        <v>0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22.5" customHeight="1">
      <c r="A109" s="9">
        <v>45775.0</v>
      </c>
      <c r="B109" s="11" t="s">
        <v>305</v>
      </c>
      <c r="C109" s="16" t="s">
        <v>237</v>
      </c>
      <c r="D109" s="13" t="s">
        <v>13</v>
      </c>
      <c r="E109" s="13">
        <f t="shared" si="3"/>
        <v>-230200</v>
      </c>
      <c r="F109" s="13"/>
      <c r="G109" s="14"/>
      <c r="H109" s="13">
        <v>-230200.0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>
        <f t="shared" si="1"/>
        <v>230200</v>
      </c>
      <c r="S109" s="15">
        <f t="shared" si="2"/>
        <v>0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22.5" customHeight="1">
      <c r="A110" s="9">
        <v>45777.0</v>
      </c>
      <c r="B110" s="11" t="s">
        <v>306</v>
      </c>
      <c r="C110" s="16" t="s">
        <v>307</v>
      </c>
      <c r="D110" s="13" t="s">
        <v>31</v>
      </c>
      <c r="E110" s="13">
        <f t="shared" si="3"/>
        <v>-5000000</v>
      </c>
      <c r="F110" s="14"/>
      <c r="G110" s="14"/>
      <c r="H110" s="13">
        <v>-5000000.0</v>
      </c>
      <c r="I110" s="14"/>
      <c r="J110" s="14"/>
      <c r="K110" s="14"/>
      <c r="L110" s="14"/>
      <c r="M110" s="13">
        <v>5000000.0</v>
      </c>
      <c r="N110" s="14"/>
      <c r="O110" s="14"/>
      <c r="P110" s="14"/>
      <c r="Q110" s="14"/>
      <c r="R110" s="14">
        <f t="shared" si="1"/>
        <v>5000000</v>
      </c>
      <c r="S110" s="15">
        <f t="shared" si="2"/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22.5" customHeight="1">
      <c r="A111" s="9">
        <v>45777.0</v>
      </c>
      <c r="B111" s="11" t="s">
        <v>308</v>
      </c>
      <c r="C111" s="16" t="s">
        <v>80</v>
      </c>
      <c r="D111" s="13" t="s">
        <v>38</v>
      </c>
      <c r="E111" s="13">
        <f t="shared" si="3"/>
        <v>0</v>
      </c>
      <c r="F111" s="13">
        <v>-1.5E7</v>
      </c>
      <c r="G111" s="14"/>
      <c r="H111" s="13">
        <v>1.5E7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5">
        <f t="shared" si="1"/>
        <v>0</v>
      </c>
      <c r="S111" s="15">
        <f t="shared" si="2"/>
        <v>0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22.5" customHeight="1">
      <c r="A112" s="9">
        <v>45779.0</v>
      </c>
      <c r="B112" s="11" t="s">
        <v>309</v>
      </c>
      <c r="C112" s="16" t="s">
        <v>231</v>
      </c>
      <c r="D112" s="13" t="s">
        <v>24</v>
      </c>
      <c r="E112" s="13">
        <f t="shared" si="3"/>
        <v>-810000</v>
      </c>
      <c r="F112" s="14"/>
      <c r="G112" s="14"/>
      <c r="H112" s="13">
        <v>-810000.0</v>
      </c>
      <c r="I112" s="14"/>
      <c r="J112" s="14"/>
      <c r="K112" s="14"/>
      <c r="L112" s="14"/>
      <c r="M112" s="14"/>
      <c r="N112" s="13"/>
      <c r="O112" s="13">
        <v>810000.0</v>
      </c>
      <c r="P112" s="14"/>
      <c r="Q112" s="14"/>
      <c r="R112" s="14">
        <f t="shared" si="1"/>
        <v>810000</v>
      </c>
      <c r="S112" s="15">
        <f t="shared" si="2"/>
        <v>0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22.5" customHeight="1">
      <c r="A113" s="9">
        <v>45779.0</v>
      </c>
      <c r="B113" s="11" t="s">
        <v>228</v>
      </c>
      <c r="C113" s="16" t="s">
        <v>229</v>
      </c>
      <c r="D113" s="13" t="s">
        <v>58</v>
      </c>
      <c r="E113" s="13">
        <f t="shared" si="3"/>
        <v>11615688</v>
      </c>
      <c r="F113" s="13">
        <v>1.1615688E7</v>
      </c>
      <c r="G113" s="14"/>
      <c r="H113" s="13"/>
      <c r="I113" s="14"/>
      <c r="J113" s="14"/>
      <c r="K113" s="14"/>
      <c r="L113" s="14"/>
      <c r="M113" s="14"/>
      <c r="N113" s="14"/>
      <c r="O113" s="14"/>
      <c r="P113" s="14"/>
      <c r="Q113" s="14"/>
      <c r="R113" s="15">
        <f t="shared" si="1"/>
        <v>0</v>
      </c>
      <c r="S113" s="14">
        <f t="shared" si="2"/>
        <v>-11615688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22.5" customHeight="1">
      <c r="A114" s="9">
        <v>45779.0</v>
      </c>
      <c r="B114" s="11" t="s">
        <v>310</v>
      </c>
      <c r="C114" s="16" t="s">
        <v>62</v>
      </c>
      <c r="D114" s="13" t="s">
        <v>58</v>
      </c>
      <c r="E114" s="13">
        <f t="shared" si="3"/>
        <v>-4938525</v>
      </c>
      <c r="F114" s="14"/>
      <c r="G114" s="14"/>
      <c r="H114" s="13">
        <v>-4938525.0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>
        <f t="shared" si="1"/>
        <v>4938525</v>
      </c>
      <c r="S114" s="15">
        <f t="shared" si="2"/>
        <v>0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22.5" customHeight="1">
      <c r="A115" s="9">
        <v>45779.0</v>
      </c>
      <c r="B115" s="11" t="s">
        <v>288</v>
      </c>
      <c r="C115" s="16" t="s">
        <v>231</v>
      </c>
      <c r="D115" s="13" t="s">
        <v>25</v>
      </c>
      <c r="E115" s="13">
        <f t="shared" si="3"/>
        <v>-1500000</v>
      </c>
      <c r="F115" s="14"/>
      <c r="G115" s="14"/>
      <c r="H115" s="13">
        <v>-1500000.0</v>
      </c>
      <c r="I115" s="14"/>
      <c r="J115" s="13"/>
      <c r="K115" s="14"/>
      <c r="L115" s="14"/>
      <c r="M115" s="14"/>
      <c r="N115" s="14"/>
      <c r="O115" s="14"/>
      <c r="P115" s="14"/>
      <c r="Q115" s="14"/>
      <c r="R115" s="14">
        <f t="shared" si="1"/>
        <v>1500000</v>
      </c>
      <c r="S115" s="15">
        <f t="shared" si="2"/>
        <v>0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22.5" customHeight="1">
      <c r="A116" s="9">
        <v>45779.0</v>
      </c>
      <c r="B116" s="11" t="s">
        <v>311</v>
      </c>
      <c r="C116" s="16" t="s">
        <v>312</v>
      </c>
      <c r="D116" s="13" t="s">
        <v>57</v>
      </c>
      <c r="E116" s="13">
        <f t="shared" si="3"/>
        <v>1000000</v>
      </c>
      <c r="F116" s="13">
        <v>1000000.0</v>
      </c>
      <c r="G116" s="14"/>
      <c r="H116" s="13"/>
      <c r="I116" s="14"/>
      <c r="J116" s="14"/>
      <c r="K116" s="14"/>
      <c r="L116" s="14"/>
      <c r="M116" s="14"/>
      <c r="N116" s="14"/>
      <c r="O116" s="14"/>
      <c r="P116" s="14"/>
      <c r="Q116" s="14"/>
      <c r="R116" s="15">
        <f t="shared" si="1"/>
        <v>0</v>
      </c>
      <c r="S116" s="14">
        <f t="shared" si="2"/>
        <v>-1000000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22.5" customHeight="1">
      <c r="A117" s="9">
        <v>45780.0</v>
      </c>
      <c r="B117" s="11" t="s">
        <v>313</v>
      </c>
      <c r="C117" s="16" t="s">
        <v>314</v>
      </c>
      <c r="D117" s="13" t="s">
        <v>57</v>
      </c>
      <c r="E117" s="13">
        <f t="shared" si="3"/>
        <v>500000</v>
      </c>
      <c r="F117" s="13">
        <v>500000.0</v>
      </c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5">
        <f t="shared" si="1"/>
        <v>0</v>
      </c>
      <c r="S117" s="14">
        <f t="shared" si="2"/>
        <v>-500000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22.5" customHeight="1">
      <c r="A118" s="9">
        <v>45781.0</v>
      </c>
      <c r="B118" s="11" t="s">
        <v>315</v>
      </c>
      <c r="C118" s="16" t="s">
        <v>231</v>
      </c>
      <c r="D118" s="13" t="s">
        <v>13</v>
      </c>
      <c r="E118" s="13">
        <f t="shared" si="3"/>
        <v>-359000</v>
      </c>
      <c r="F118" s="14"/>
      <c r="G118" s="14"/>
      <c r="H118" s="13"/>
      <c r="I118" s="14"/>
      <c r="J118" s="13">
        <f>-(150+65+25+60+24+35)*1000</f>
        <v>-359000</v>
      </c>
      <c r="K118" s="14"/>
      <c r="L118" s="14"/>
      <c r="M118" s="14"/>
      <c r="N118" s="14"/>
      <c r="O118" s="14"/>
      <c r="P118" s="13"/>
      <c r="Q118" s="14"/>
      <c r="R118" s="14">
        <f t="shared" si="1"/>
        <v>359000</v>
      </c>
      <c r="S118" s="15">
        <f t="shared" si="2"/>
        <v>0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22.5" customHeight="1">
      <c r="A119" s="9">
        <v>45781.0</v>
      </c>
      <c r="B119" s="11" t="s">
        <v>316</v>
      </c>
      <c r="C119" s="16" t="s">
        <v>231</v>
      </c>
      <c r="D119" s="13" t="s">
        <v>35</v>
      </c>
      <c r="E119" s="13">
        <f t="shared" si="3"/>
        <v>-305000</v>
      </c>
      <c r="F119" s="14"/>
      <c r="G119" s="14"/>
      <c r="H119" s="13"/>
      <c r="I119" s="14"/>
      <c r="J119" s="13">
        <f>-(200+105)*1000</f>
        <v>-305000</v>
      </c>
      <c r="K119" s="14"/>
      <c r="L119" s="14"/>
      <c r="M119" s="14"/>
      <c r="N119" s="14"/>
      <c r="O119" s="14"/>
      <c r="P119" s="13"/>
      <c r="Q119" s="14"/>
      <c r="R119" s="14">
        <f t="shared" si="1"/>
        <v>305000</v>
      </c>
      <c r="S119" s="15">
        <f t="shared" si="2"/>
        <v>0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22.5" customHeight="1">
      <c r="A120" s="9">
        <v>45783.0</v>
      </c>
      <c r="B120" s="11" t="s">
        <v>317</v>
      </c>
      <c r="C120" s="16" t="s">
        <v>318</v>
      </c>
      <c r="D120" s="13" t="s">
        <v>15</v>
      </c>
      <c r="E120" s="13">
        <f t="shared" si="3"/>
        <v>-750000</v>
      </c>
      <c r="F120" s="14"/>
      <c r="G120" s="14"/>
      <c r="H120" s="13">
        <v>-750000.0</v>
      </c>
      <c r="I120" s="14"/>
      <c r="J120" s="14"/>
      <c r="K120" s="14"/>
      <c r="L120" s="14"/>
      <c r="M120" s="14"/>
      <c r="N120" s="14"/>
      <c r="O120" s="14"/>
      <c r="P120" s="13">
        <v>750000.0</v>
      </c>
      <c r="Q120" s="14"/>
      <c r="R120" s="14">
        <f t="shared" si="1"/>
        <v>750000</v>
      </c>
      <c r="S120" s="15">
        <f t="shared" si="2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22.5" customHeight="1">
      <c r="A121" s="9">
        <v>45784.0</v>
      </c>
      <c r="B121" s="11" t="s">
        <v>319</v>
      </c>
      <c r="C121" s="16" t="s">
        <v>231</v>
      </c>
      <c r="D121" s="13" t="s">
        <v>39</v>
      </c>
      <c r="E121" s="13">
        <f t="shared" si="3"/>
        <v>-277500</v>
      </c>
      <c r="F121" s="14"/>
      <c r="G121" s="14"/>
      <c r="H121" s="14"/>
      <c r="I121" s="14"/>
      <c r="J121" s="13">
        <v>-277500.0</v>
      </c>
      <c r="K121" s="14"/>
      <c r="L121" s="14"/>
      <c r="M121" s="14"/>
      <c r="N121" s="14"/>
      <c r="O121" s="14"/>
      <c r="P121" s="14"/>
      <c r="Q121" s="14"/>
      <c r="R121" s="14">
        <f t="shared" si="1"/>
        <v>277500</v>
      </c>
      <c r="S121" s="15">
        <f t="shared" si="2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22.5" customHeight="1">
      <c r="A122" s="9">
        <v>45784.0</v>
      </c>
      <c r="B122" s="11" t="s">
        <v>320</v>
      </c>
      <c r="C122" s="16" t="s">
        <v>321</v>
      </c>
      <c r="D122" s="13" t="s">
        <v>1</v>
      </c>
      <c r="E122" s="13">
        <f t="shared" si="3"/>
        <v>-700213</v>
      </c>
      <c r="F122" s="14"/>
      <c r="G122" s="14"/>
      <c r="H122" s="13">
        <v>-700213.0</v>
      </c>
      <c r="I122" s="13">
        <v>213.0</v>
      </c>
      <c r="J122" s="14"/>
      <c r="K122" s="14"/>
      <c r="L122" s="14"/>
      <c r="M122" s="13">
        <v>700000.0</v>
      </c>
      <c r="N122" s="14"/>
      <c r="O122" s="14"/>
      <c r="P122" s="14"/>
      <c r="Q122" s="14"/>
      <c r="R122" s="14">
        <f t="shared" si="1"/>
        <v>700213</v>
      </c>
      <c r="S122" s="15">
        <f t="shared" si="2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22.5" customHeight="1">
      <c r="A123" s="9">
        <v>45784.0</v>
      </c>
      <c r="B123" s="11" t="s">
        <v>252</v>
      </c>
      <c r="C123" s="16" t="s">
        <v>231</v>
      </c>
      <c r="D123" s="13" t="s">
        <v>38</v>
      </c>
      <c r="E123" s="13">
        <f t="shared" si="3"/>
        <v>0</v>
      </c>
      <c r="F123" s="14"/>
      <c r="G123" s="14"/>
      <c r="H123" s="13">
        <v>-941000.0</v>
      </c>
      <c r="I123" s="14"/>
      <c r="J123" s="13">
        <v>941000.0</v>
      </c>
      <c r="K123" s="14"/>
      <c r="L123" s="14"/>
      <c r="M123" s="14"/>
      <c r="N123" s="14"/>
      <c r="O123" s="14"/>
      <c r="P123" s="14"/>
      <c r="Q123" s="14"/>
      <c r="R123" s="15">
        <f t="shared" si="1"/>
        <v>0</v>
      </c>
      <c r="S123" s="15">
        <f t="shared" si="2"/>
        <v>0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22.5" customHeight="1">
      <c r="A124" s="9">
        <v>45785.0</v>
      </c>
      <c r="B124" s="11" t="s">
        <v>322</v>
      </c>
      <c r="C124" s="16" t="s">
        <v>323</v>
      </c>
      <c r="D124" s="13" t="s">
        <v>31</v>
      </c>
      <c r="E124" s="13">
        <f t="shared" si="3"/>
        <v>2500000</v>
      </c>
      <c r="F124" s="13">
        <v>2500000.0</v>
      </c>
      <c r="G124" s="14"/>
      <c r="H124" s="13"/>
      <c r="I124" s="14"/>
      <c r="J124" s="14"/>
      <c r="K124" s="14"/>
      <c r="L124" s="14"/>
      <c r="M124" s="14"/>
      <c r="N124" s="14"/>
      <c r="O124" s="14"/>
      <c r="P124" s="14"/>
      <c r="Q124" s="14"/>
      <c r="R124" s="15">
        <f t="shared" si="1"/>
        <v>0</v>
      </c>
      <c r="S124" s="14">
        <f t="shared" si="2"/>
        <v>-2500000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22.5" customHeight="1">
      <c r="A125" s="9">
        <v>45785.0</v>
      </c>
      <c r="B125" s="11" t="s">
        <v>322</v>
      </c>
      <c r="C125" s="16" t="s">
        <v>324</v>
      </c>
      <c r="D125" s="13" t="s">
        <v>31</v>
      </c>
      <c r="E125" s="13">
        <f t="shared" si="3"/>
        <v>2500000</v>
      </c>
      <c r="F125" s="13">
        <v>2500000.0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5">
        <f t="shared" si="1"/>
        <v>0</v>
      </c>
      <c r="S125" s="14">
        <f t="shared" si="2"/>
        <v>-2500000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22.5" customHeight="1">
      <c r="A126" s="9">
        <v>45785.0</v>
      </c>
      <c r="B126" s="11" t="s">
        <v>322</v>
      </c>
      <c r="C126" s="16" t="s">
        <v>325</v>
      </c>
      <c r="D126" s="13" t="s">
        <v>31</v>
      </c>
      <c r="E126" s="13">
        <f t="shared" si="3"/>
        <v>2500000</v>
      </c>
      <c r="F126" s="13">
        <v>2500000.0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5">
        <f t="shared" si="1"/>
        <v>0</v>
      </c>
      <c r="S126" s="14">
        <f t="shared" si="2"/>
        <v>-2500000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22.5" customHeight="1">
      <c r="A127" s="9">
        <v>45785.0</v>
      </c>
      <c r="B127" s="11" t="s">
        <v>322</v>
      </c>
      <c r="C127" s="16" t="s">
        <v>326</v>
      </c>
      <c r="D127" s="13" t="s">
        <v>31</v>
      </c>
      <c r="E127" s="13">
        <f t="shared" si="3"/>
        <v>2500000</v>
      </c>
      <c r="F127" s="13">
        <v>2500000.0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5">
        <f t="shared" si="1"/>
        <v>0</v>
      </c>
      <c r="S127" s="14">
        <f t="shared" si="2"/>
        <v>-2500000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22.5" customHeight="1">
      <c r="A128" s="9">
        <v>45785.0</v>
      </c>
      <c r="B128" s="11" t="s">
        <v>322</v>
      </c>
      <c r="C128" s="16" t="s">
        <v>327</v>
      </c>
      <c r="D128" s="13" t="s">
        <v>31</v>
      </c>
      <c r="E128" s="13">
        <f t="shared" si="3"/>
        <v>2500000</v>
      </c>
      <c r="F128" s="13">
        <v>2500000.0</v>
      </c>
      <c r="G128" s="14"/>
      <c r="H128" s="13"/>
      <c r="I128" s="14"/>
      <c r="J128" s="14"/>
      <c r="K128" s="14"/>
      <c r="L128" s="14"/>
      <c r="M128" s="14"/>
      <c r="N128" s="14"/>
      <c r="O128" s="14"/>
      <c r="P128" s="14"/>
      <c r="Q128" s="14"/>
      <c r="R128" s="15">
        <f t="shared" si="1"/>
        <v>0</v>
      </c>
      <c r="S128" s="14">
        <f t="shared" si="2"/>
        <v>-2500000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22.5" customHeight="1">
      <c r="A129" s="9">
        <v>45785.0</v>
      </c>
      <c r="B129" s="11" t="s">
        <v>328</v>
      </c>
      <c r="C129" s="16" t="s">
        <v>329</v>
      </c>
      <c r="D129" s="13" t="s">
        <v>15</v>
      </c>
      <c r="E129" s="13">
        <f t="shared" si="3"/>
        <v>-500203</v>
      </c>
      <c r="F129" s="14"/>
      <c r="G129" s="14"/>
      <c r="H129" s="13">
        <v>-500203.0</v>
      </c>
      <c r="I129" s="13">
        <v>203.0</v>
      </c>
      <c r="J129" s="14"/>
      <c r="K129" s="14"/>
      <c r="L129" s="14"/>
      <c r="M129" s="14"/>
      <c r="N129" s="14"/>
      <c r="O129" s="14"/>
      <c r="P129" s="13">
        <v>500000.0</v>
      </c>
      <c r="Q129" s="14"/>
      <c r="R129" s="14">
        <f t="shared" si="1"/>
        <v>500203</v>
      </c>
      <c r="S129" s="15">
        <f t="shared" si="2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22.5" customHeight="1">
      <c r="A130" s="9">
        <v>45786.0</v>
      </c>
      <c r="B130" s="11" t="s">
        <v>322</v>
      </c>
      <c r="C130" s="16" t="s">
        <v>330</v>
      </c>
      <c r="D130" s="13" t="s">
        <v>31</v>
      </c>
      <c r="E130" s="13">
        <f t="shared" si="3"/>
        <v>1000000</v>
      </c>
      <c r="F130" s="13">
        <v>1000000.0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5">
        <f t="shared" si="1"/>
        <v>0</v>
      </c>
      <c r="S130" s="14">
        <f t="shared" si="2"/>
        <v>-1000000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22.5" customHeight="1">
      <c r="A131" s="9">
        <v>45786.0</v>
      </c>
      <c r="B131" s="11" t="s">
        <v>331</v>
      </c>
      <c r="C131" s="16" t="s">
        <v>332</v>
      </c>
      <c r="D131" s="13" t="s">
        <v>58</v>
      </c>
      <c r="E131" s="13">
        <f t="shared" si="3"/>
        <v>600000</v>
      </c>
      <c r="F131" s="13"/>
      <c r="G131" s="14"/>
      <c r="H131" s="13">
        <v>600000.0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5">
        <f t="shared" si="1"/>
        <v>0</v>
      </c>
      <c r="S131" s="14">
        <f t="shared" si="2"/>
        <v>-600000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22.5" customHeight="1">
      <c r="A132" s="9">
        <v>45787.0</v>
      </c>
      <c r="B132" s="11" t="s">
        <v>333</v>
      </c>
      <c r="C132" s="16" t="s">
        <v>9</v>
      </c>
      <c r="D132" s="13" t="s">
        <v>13</v>
      </c>
      <c r="E132" s="13">
        <f t="shared" si="3"/>
        <v>-425000</v>
      </c>
      <c r="F132" s="14"/>
      <c r="G132" s="14"/>
      <c r="H132" s="13"/>
      <c r="I132" s="14"/>
      <c r="J132" s="13">
        <f>-M132</f>
        <v>-425000</v>
      </c>
      <c r="K132" s="14"/>
      <c r="L132" s="14"/>
      <c r="M132" s="13">
        <f>(60+70+170+125)*1000</f>
        <v>425000</v>
      </c>
      <c r="N132" s="13"/>
      <c r="O132" s="13"/>
      <c r="P132" s="14"/>
      <c r="Q132" s="14"/>
      <c r="R132" s="14">
        <f t="shared" si="1"/>
        <v>425000</v>
      </c>
      <c r="S132" s="15">
        <f t="shared" si="2"/>
        <v>0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22.5" customHeight="1">
      <c r="A133" s="9">
        <v>45787.0</v>
      </c>
      <c r="B133" s="11" t="s">
        <v>334</v>
      </c>
      <c r="C133" s="16" t="s">
        <v>318</v>
      </c>
      <c r="D133" s="13" t="s">
        <v>15</v>
      </c>
      <c r="E133" s="13">
        <f t="shared" si="3"/>
        <v>-1000000</v>
      </c>
      <c r="F133" s="13"/>
      <c r="G133" s="14"/>
      <c r="H133" s="13">
        <v>-1000000.0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>
        <f t="shared" si="1"/>
        <v>1000000</v>
      </c>
      <c r="S133" s="15">
        <f t="shared" si="2"/>
        <v>0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22.5" customHeight="1">
      <c r="A134" s="9">
        <v>45788.0</v>
      </c>
      <c r="B134" s="11" t="s">
        <v>335</v>
      </c>
      <c r="C134" s="16" t="s">
        <v>83</v>
      </c>
      <c r="D134" s="13" t="s">
        <v>31</v>
      </c>
      <c r="E134" s="13">
        <f t="shared" si="3"/>
        <v>-5000000</v>
      </c>
      <c r="F134" s="14"/>
      <c r="G134" s="14"/>
      <c r="H134" s="13">
        <v>-5000000.0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>
        <f t="shared" si="1"/>
        <v>5000000</v>
      </c>
      <c r="S134" s="15">
        <f t="shared" si="2"/>
        <v>0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22.5" customHeight="1">
      <c r="A135" s="9">
        <v>45788.0</v>
      </c>
      <c r="B135" s="11" t="s">
        <v>335</v>
      </c>
      <c r="C135" s="16" t="s">
        <v>83</v>
      </c>
      <c r="D135" s="13" t="s">
        <v>31</v>
      </c>
      <c r="E135" s="13">
        <f t="shared" si="3"/>
        <v>-2000000</v>
      </c>
      <c r="F135" s="14"/>
      <c r="G135" s="14"/>
      <c r="H135" s="13">
        <v>-2000000.0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>
        <f t="shared" si="1"/>
        <v>2000000</v>
      </c>
      <c r="S135" s="15">
        <f t="shared" si="2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22.5" customHeight="1">
      <c r="A136" s="9">
        <v>45788.0</v>
      </c>
      <c r="B136" s="11" t="s">
        <v>336</v>
      </c>
      <c r="C136" s="12"/>
      <c r="D136" s="13" t="s">
        <v>38</v>
      </c>
      <c r="E136" s="13">
        <f t="shared" si="3"/>
        <v>0</v>
      </c>
      <c r="F136" s="13">
        <v>-1.5E7</v>
      </c>
      <c r="G136" s="14"/>
      <c r="H136" s="13">
        <v>1.5E7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5">
        <f t="shared" si="1"/>
        <v>0</v>
      </c>
      <c r="S136" s="15">
        <f t="shared" si="2"/>
        <v>0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22.5" customHeight="1">
      <c r="A137" s="9">
        <v>45788.0</v>
      </c>
      <c r="B137" s="11" t="s">
        <v>337</v>
      </c>
      <c r="C137" s="16" t="s">
        <v>237</v>
      </c>
      <c r="D137" s="13" t="s">
        <v>15</v>
      </c>
      <c r="E137" s="13">
        <f t="shared" si="3"/>
        <v>-247200</v>
      </c>
      <c r="F137" s="14"/>
      <c r="G137" s="14"/>
      <c r="H137" s="13">
        <v>-247200.0</v>
      </c>
      <c r="I137" s="13">
        <v>200.0</v>
      </c>
      <c r="J137" s="14"/>
      <c r="K137" s="14"/>
      <c r="L137" s="14"/>
      <c r="M137" s="14"/>
      <c r="N137" s="14"/>
      <c r="O137" s="14"/>
      <c r="P137" s="13">
        <v>247000.0</v>
      </c>
      <c r="Q137" s="14"/>
      <c r="R137" s="14">
        <f t="shared" si="1"/>
        <v>247200</v>
      </c>
      <c r="S137" s="15">
        <f t="shared" si="2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22.5" customHeight="1">
      <c r="A138" s="9">
        <v>45788.0</v>
      </c>
      <c r="B138" s="11" t="s">
        <v>338</v>
      </c>
      <c r="C138" s="16" t="s">
        <v>83</v>
      </c>
      <c r="D138" s="13" t="s">
        <v>15</v>
      </c>
      <c r="E138" s="13">
        <f t="shared" si="3"/>
        <v>-700000</v>
      </c>
      <c r="F138" s="14"/>
      <c r="G138" s="14"/>
      <c r="H138" s="13">
        <v>-700000.0</v>
      </c>
      <c r="I138" s="14"/>
      <c r="J138" s="14"/>
      <c r="K138" s="14"/>
      <c r="L138" s="14"/>
      <c r="M138" s="14"/>
      <c r="N138" s="14"/>
      <c r="O138" s="14"/>
      <c r="P138" s="13">
        <v>700000.0</v>
      </c>
      <c r="Q138" s="14"/>
      <c r="R138" s="14">
        <f t="shared" si="1"/>
        <v>700000</v>
      </c>
      <c r="S138" s="15">
        <f t="shared" si="2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22.5" customHeight="1">
      <c r="A139" s="9">
        <v>45788.0</v>
      </c>
      <c r="B139" s="11" t="s">
        <v>338</v>
      </c>
      <c r="C139" s="16" t="s">
        <v>80</v>
      </c>
      <c r="D139" s="13" t="s">
        <v>15</v>
      </c>
      <c r="E139" s="13">
        <f t="shared" si="3"/>
        <v>200000</v>
      </c>
      <c r="F139" s="14"/>
      <c r="G139" s="14"/>
      <c r="H139" s="13">
        <v>200000.0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5">
        <f t="shared" si="1"/>
        <v>0</v>
      </c>
      <c r="S139" s="14">
        <f t="shared" si="2"/>
        <v>-200000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22.5" customHeight="1">
      <c r="A140" s="9">
        <v>45792.0</v>
      </c>
      <c r="B140" s="11" t="s">
        <v>339</v>
      </c>
      <c r="C140" s="16" t="s">
        <v>9</v>
      </c>
      <c r="D140" s="13" t="s">
        <v>43</v>
      </c>
      <c r="E140" s="13">
        <f t="shared" si="3"/>
        <v>-152500</v>
      </c>
      <c r="F140" s="14"/>
      <c r="G140" s="14"/>
      <c r="H140" s="13"/>
      <c r="I140" s="14"/>
      <c r="J140" s="13">
        <f>-O140</f>
        <v>-152500</v>
      </c>
      <c r="K140" s="14"/>
      <c r="L140" s="14"/>
      <c r="M140" s="13"/>
      <c r="N140" s="13"/>
      <c r="O140" s="13">
        <v>152500.0</v>
      </c>
      <c r="P140" s="14"/>
      <c r="Q140" s="14"/>
      <c r="R140" s="14">
        <f t="shared" si="1"/>
        <v>152500</v>
      </c>
      <c r="S140" s="15">
        <f t="shared" si="2"/>
        <v>0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22.5" customHeight="1">
      <c r="A141" s="9">
        <v>45792.0</v>
      </c>
      <c r="B141" s="11" t="s">
        <v>340</v>
      </c>
      <c r="C141" s="16" t="s">
        <v>83</v>
      </c>
      <c r="D141" s="13" t="s">
        <v>31</v>
      </c>
      <c r="E141" s="13">
        <f t="shared" si="3"/>
        <v>-300000</v>
      </c>
      <c r="F141" s="14"/>
      <c r="G141" s="14"/>
      <c r="H141" s="13">
        <v>-300000.0</v>
      </c>
      <c r="I141" s="14"/>
      <c r="J141" s="14"/>
      <c r="K141" s="14"/>
      <c r="L141" s="14"/>
      <c r="M141" s="13">
        <v>300000.0</v>
      </c>
      <c r="N141" s="14"/>
      <c r="O141" s="14"/>
      <c r="P141" s="14"/>
      <c r="Q141" s="14"/>
      <c r="R141" s="14">
        <f t="shared" si="1"/>
        <v>300000</v>
      </c>
      <c r="S141" s="15">
        <f t="shared" si="2"/>
        <v>0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22.5" customHeight="1">
      <c r="A142" s="9">
        <v>45792.0</v>
      </c>
      <c r="B142" s="11" t="s">
        <v>341</v>
      </c>
      <c r="C142" s="16" t="s">
        <v>264</v>
      </c>
      <c r="D142" s="13" t="s">
        <v>13</v>
      </c>
      <c r="E142" s="13">
        <f t="shared" si="3"/>
        <v>-300216</v>
      </c>
      <c r="F142" s="14"/>
      <c r="G142" s="14"/>
      <c r="H142" s="13">
        <v>-300216.0</v>
      </c>
      <c r="I142" s="13">
        <v>216.0</v>
      </c>
      <c r="J142" s="14"/>
      <c r="K142" s="14"/>
      <c r="L142" s="14"/>
      <c r="M142" s="13"/>
      <c r="N142" s="14"/>
      <c r="O142" s="14"/>
      <c r="P142" s="14"/>
      <c r="Q142" s="14"/>
      <c r="R142" s="14">
        <f t="shared" si="1"/>
        <v>300216</v>
      </c>
      <c r="S142" s="15">
        <f t="shared" si="2"/>
        <v>0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22.5" customHeight="1">
      <c r="A143" s="9">
        <v>45793.0</v>
      </c>
      <c r="B143" s="11" t="s">
        <v>342</v>
      </c>
      <c r="C143" s="16" t="s">
        <v>83</v>
      </c>
      <c r="D143" s="13" t="s">
        <v>31</v>
      </c>
      <c r="E143" s="13">
        <f t="shared" si="3"/>
        <v>-2000000</v>
      </c>
      <c r="F143" s="14"/>
      <c r="G143" s="14"/>
      <c r="H143" s="13">
        <v>-2000000.0</v>
      </c>
      <c r="I143" s="14"/>
      <c r="J143" s="14"/>
      <c r="K143" s="14"/>
      <c r="L143" s="14"/>
      <c r="M143" s="13">
        <v>2000000.0</v>
      </c>
      <c r="N143" s="14"/>
      <c r="O143" s="14"/>
      <c r="P143" s="14"/>
      <c r="Q143" s="14"/>
      <c r="R143" s="14">
        <f t="shared" si="1"/>
        <v>2000000</v>
      </c>
      <c r="S143" s="15">
        <f t="shared" si="2"/>
        <v>0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22.5" customHeight="1">
      <c r="A144" s="9">
        <v>45793.0</v>
      </c>
      <c r="B144" s="11" t="s">
        <v>343</v>
      </c>
      <c r="C144" s="16" t="s">
        <v>83</v>
      </c>
      <c r="D144" s="13" t="s">
        <v>31</v>
      </c>
      <c r="E144" s="13">
        <f t="shared" si="3"/>
        <v>-5000000</v>
      </c>
      <c r="F144" s="14"/>
      <c r="G144" s="14"/>
      <c r="H144" s="13">
        <v>-5000000.0</v>
      </c>
      <c r="I144" s="14"/>
      <c r="J144" s="14"/>
      <c r="K144" s="14"/>
      <c r="L144" s="14"/>
      <c r="M144" s="13">
        <v>5000000.0</v>
      </c>
      <c r="N144" s="14"/>
      <c r="O144" s="14"/>
      <c r="P144" s="14"/>
      <c r="Q144" s="14"/>
      <c r="R144" s="14">
        <f t="shared" si="1"/>
        <v>5000000</v>
      </c>
      <c r="S144" s="15">
        <f t="shared" si="2"/>
        <v>0</v>
      </c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22.5" customHeight="1">
      <c r="A145" s="9">
        <v>45794.0</v>
      </c>
      <c r="B145" s="11" t="s">
        <v>344</v>
      </c>
      <c r="C145" s="16" t="s">
        <v>74</v>
      </c>
      <c r="D145" s="13" t="s">
        <v>15</v>
      </c>
      <c r="E145" s="13">
        <f t="shared" si="3"/>
        <v>-1502500</v>
      </c>
      <c r="F145" s="13"/>
      <c r="G145" s="14"/>
      <c r="H145" s="13">
        <v>-1502500.0</v>
      </c>
      <c r="I145" s="13">
        <v>2500.0</v>
      </c>
      <c r="J145" s="14"/>
      <c r="K145" s="14"/>
      <c r="L145" s="14"/>
      <c r="M145" s="14"/>
      <c r="N145" s="14"/>
      <c r="O145" s="14"/>
      <c r="P145" s="13">
        <v>1500000.0</v>
      </c>
      <c r="Q145" s="14"/>
      <c r="R145" s="14">
        <f t="shared" si="1"/>
        <v>1502500</v>
      </c>
      <c r="S145" s="15">
        <f t="shared" si="2"/>
        <v>0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22.5" customHeight="1">
      <c r="A146" s="9">
        <v>45795.0</v>
      </c>
      <c r="B146" s="11" t="s">
        <v>345</v>
      </c>
      <c r="C146" s="16" t="s">
        <v>9</v>
      </c>
      <c r="D146" s="13" t="s">
        <v>13</v>
      </c>
      <c r="E146" s="13">
        <f t="shared" si="3"/>
        <v>-533000</v>
      </c>
      <c r="F146" s="14"/>
      <c r="G146" s="14"/>
      <c r="H146" s="13"/>
      <c r="I146" s="14"/>
      <c r="J146" s="13">
        <f t="shared" ref="J146:J148" si="4">-M146</f>
        <v>-533000</v>
      </c>
      <c r="K146" s="14"/>
      <c r="L146" s="14"/>
      <c r="M146" s="13">
        <f>(167+20+285+15+46)*1000</f>
        <v>533000</v>
      </c>
      <c r="P146" s="14"/>
      <c r="Q146" s="14"/>
      <c r="R146" s="14">
        <f t="shared" si="1"/>
        <v>533000</v>
      </c>
      <c r="S146" s="15">
        <f t="shared" si="2"/>
        <v>0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22.5" customHeight="1">
      <c r="A147" s="9">
        <v>45797.0</v>
      </c>
      <c r="B147" s="11" t="s">
        <v>346</v>
      </c>
      <c r="C147" s="16" t="s">
        <v>9</v>
      </c>
      <c r="D147" s="13" t="s">
        <v>13</v>
      </c>
      <c r="E147" s="13">
        <f t="shared" si="3"/>
        <v>-528000</v>
      </c>
      <c r="F147" s="14"/>
      <c r="G147" s="14"/>
      <c r="H147" s="13"/>
      <c r="I147" s="14"/>
      <c r="J147" s="13">
        <f t="shared" si="4"/>
        <v>-528000</v>
      </c>
      <c r="K147" s="14"/>
      <c r="L147" s="14"/>
      <c r="M147" s="13">
        <f>(110+75+18+47+74+174+30)*1000</f>
        <v>528000</v>
      </c>
      <c r="P147" s="14"/>
      <c r="Q147" s="14"/>
      <c r="R147" s="14">
        <f t="shared" si="1"/>
        <v>528000</v>
      </c>
      <c r="S147" s="15">
        <f t="shared" si="2"/>
        <v>0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22.5" customHeight="1">
      <c r="A148" s="9">
        <v>45797.0</v>
      </c>
      <c r="B148" s="11" t="s">
        <v>347</v>
      </c>
      <c r="C148" s="16" t="s">
        <v>9</v>
      </c>
      <c r="D148" s="13" t="s">
        <v>13</v>
      </c>
      <c r="E148" s="13">
        <f t="shared" si="3"/>
        <v>-377000</v>
      </c>
      <c r="F148" s="14"/>
      <c r="G148" s="14"/>
      <c r="H148" s="13"/>
      <c r="I148" s="14"/>
      <c r="J148" s="13">
        <f t="shared" si="4"/>
        <v>-377000</v>
      </c>
      <c r="K148" s="14"/>
      <c r="L148" s="14"/>
      <c r="M148" s="13">
        <f>(70+35+16+8+75+13+40+120)*1000</f>
        <v>377000</v>
      </c>
      <c r="P148" s="14"/>
      <c r="Q148" s="14"/>
      <c r="R148" s="14">
        <f t="shared" si="1"/>
        <v>377000</v>
      </c>
      <c r="S148" s="15">
        <f t="shared" si="2"/>
        <v>0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22.5" customHeight="1">
      <c r="A149" s="9">
        <v>45797.0</v>
      </c>
      <c r="B149" s="11" t="s">
        <v>348</v>
      </c>
      <c r="C149" s="16" t="s">
        <v>9</v>
      </c>
      <c r="D149" s="13" t="s">
        <v>37</v>
      </c>
      <c r="E149" s="13">
        <f t="shared" si="3"/>
        <v>-365000</v>
      </c>
      <c r="F149" s="14"/>
      <c r="G149" s="14"/>
      <c r="H149" s="13"/>
      <c r="I149" s="14"/>
      <c r="J149" s="13">
        <v>-365000.0</v>
      </c>
      <c r="K149" s="14"/>
      <c r="L149" s="14"/>
      <c r="M149" s="13"/>
      <c r="N149" s="13"/>
      <c r="O149" s="13">
        <v>365000.0</v>
      </c>
      <c r="P149" s="14"/>
      <c r="Q149" s="14"/>
      <c r="R149" s="14">
        <f t="shared" si="1"/>
        <v>365000</v>
      </c>
      <c r="S149" s="15">
        <f t="shared" si="2"/>
        <v>0</v>
      </c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22.5" customHeight="1">
      <c r="A150" s="9">
        <v>45802.0</v>
      </c>
      <c r="B150" s="11" t="s">
        <v>349</v>
      </c>
      <c r="C150" s="16" t="s">
        <v>9</v>
      </c>
      <c r="D150" s="13" t="s">
        <v>24</v>
      </c>
      <c r="E150" s="13">
        <f t="shared" si="3"/>
        <v>0</v>
      </c>
      <c r="F150" s="14"/>
      <c r="G150" s="14"/>
      <c r="H150" s="13">
        <v>-2500000.0</v>
      </c>
      <c r="I150" s="14"/>
      <c r="J150" s="13">
        <v>2500000.0</v>
      </c>
      <c r="K150" s="14"/>
      <c r="L150" s="14"/>
      <c r="N150" s="14"/>
      <c r="O150" s="14"/>
      <c r="P150" s="14"/>
      <c r="Q150" s="14"/>
      <c r="R150" s="15">
        <f t="shared" si="1"/>
        <v>0</v>
      </c>
      <c r="S150" s="15">
        <f t="shared" si="2"/>
        <v>0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22.5" customHeight="1">
      <c r="A151" s="9">
        <v>45802.0</v>
      </c>
      <c r="B151" s="11" t="s">
        <v>350</v>
      </c>
      <c r="C151" s="16" t="s">
        <v>9</v>
      </c>
      <c r="D151" s="13" t="s">
        <v>24</v>
      </c>
      <c r="E151" s="13">
        <f t="shared" si="3"/>
        <v>-757000</v>
      </c>
      <c r="F151" s="14"/>
      <c r="G151" s="14"/>
      <c r="H151" s="14"/>
      <c r="I151" s="14"/>
      <c r="J151" s="14">
        <f>-(55+20+36+54+166+176+250)*1000</f>
        <v>-757000</v>
      </c>
      <c r="K151" s="14"/>
      <c r="L151" s="14"/>
      <c r="M151" s="14"/>
      <c r="N151" s="14"/>
      <c r="O151" s="14">
        <f>(55+20+36+54+166+176+250)*1000</f>
        <v>757000</v>
      </c>
      <c r="P151" s="14"/>
      <c r="Q151" s="14"/>
      <c r="R151" s="14">
        <f t="shared" si="1"/>
        <v>757000</v>
      </c>
      <c r="S151" s="15">
        <f t="shared" si="2"/>
        <v>0</v>
      </c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22.5" customHeight="1">
      <c r="A152" s="9">
        <v>45802.0</v>
      </c>
      <c r="B152" s="11" t="s">
        <v>351</v>
      </c>
      <c r="C152" s="16" t="s">
        <v>9</v>
      </c>
      <c r="D152" s="13" t="s">
        <v>13</v>
      </c>
      <c r="E152" s="13">
        <f t="shared" si="3"/>
        <v>0</v>
      </c>
      <c r="F152" s="14"/>
      <c r="G152" s="14"/>
      <c r="H152" s="13">
        <v>-1723000.0</v>
      </c>
      <c r="I152" s="14"/>
      <c r="J152" s="13">
        <v>1723000.0</v>
      </c>
      <c r="K152" s="14"/>
      <c r="L152" s="14"/>
      <c r="N152" s="14"/>
      <c r="O152" s="14"/>
      <c r="P152" s="14"/>
      <c r="Q152" s="14"/>
      <c r="R152" s="15">
        <f t="shared" si="1"/>
        <v>0</v>
      </c>
      <c r="S152" s="15">
        <f t="shared" si="2"/>
        <v>0</v>
      </c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22.5" customHeight="1">
      <c r="A153" s="9">
        <v>45802.0</v>
      </c>
      <c r="B153" s="11" t="s">
        <v>352</v>
      </c>
      <c r="C153" s="16" t="s">
        <v>237</v>
      </c>
      <c r="D153" s="13" t="s">
        <v>13</v>
      </c>
      <c r="E153" s="13">
        <f t="shared" si="3"/>
        <v>-205202</v>
      </c>
      <c r="F153" s="14"/>
      <c r="G153" s="14"/>
      <c r="H153" s="13">
        <v>-205202.0</v>
      </c>
      <c r="I153" s="13">
        <v>202.0</v>
      </c>
      <c r="J153" s="14"/>
      <c r="K153" s="14"/>
      <c r="L153" s="14"/>
      <c r="M153" s="13">
        <v>205000.0</v>
      </c>
      <c r="N153" s="14"/>
      <c r="O153" s="14"/>
      <c r="P153" s="14"/>
      <c r="Q153" s="14"/>
      <c r="R153" s="14">
        <f t="shared" si="1"/>
        <v>205202</v>
      </c>
      <c r="S153" s="15">
        <f t="shared" si="2"/>
        <v>0</v>
      </c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22.5" customHeight="1">
      <c r="A154" s="9">
        <v>45802.0</v>
      </c>
      <c r="B154" s="11" t="s">
        <v>336</v>
      </c>
      <c r="C154" s="16" t="s">
        <v>80</v>
      </c>
      <c r="D154" s="13" t="s">
        <v>38</v>
      </c>
      <c r="E154" s="13">
        <f t="shared" si="3"/>
        <v>0</v>
      </c>
      <c r="F154" s="13">
        <v>-2.0E7</v>
      </c>
      <c r="G154" s="14"/>
      <c r="H154" s="13">
        <v>2.0E7</v>
      </c>
      <c r="I154" s="14"/>
      <c r="J154" s="13"/>
      <c r="K154" s="14"/>
      <c r="L154" s="14"/>
      <c r="N154" s="14"/>
      <c r="O154" s="14"/>
      <c r="P154" s="14"/>
      <c r="Q154" s="14"/>
      <c r="R154" s="15">
        <f t="shared" si="1"/>
        <v>0</v>
      </c>
      <c r="S154" s="15">
        <f t="shared" si="2"/>
        <v>0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22.5" customHeight="1">
      <c r="A155" s="9">
        <v>45802.0</v>
      </c>
      <c r="B155" s="11" t="s">
        <v>252</v>
      </c>
      <c r="C155" s="16" t="s">
        <v>9</v>
      </c>
      <c r="D155" s="21" t="s">
        <v>38</v>
      </c>
      <c r="E155" s="13">
        <f t="shared" si="3"/>
        <v>0</v>
      </c>
      <c r="F155" s="14"/>
      <c r="G155" s="14"/>
      <c r="H155" s="13">
        <v>-2580000.0</v>
      </c>
      <c r="I155" s="14"/>
      <c r="J155" s="13">
        <v>2580000.0</v>
      </c>
      <c r="K155" s="14"/>
      <c r="L155" s="14"/>
      <c r="N155" s="14"/>
      <c r="O155" s="14"/>
      <c r="P155" s="14"/>
      <c r="Q155" s="14"/>
      <c r="R155" s="15">
        <f t="shared" si="1"/>
        <v>0</v>
      </c>
      <c r="S155" s="15">
        <f t="shared" si="2"/>
        <v>0</v>
      </c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22.5" customHeight="1">
      <c r="A156" s="9">
        <v>45802.0</v>
      </c>
      <c r="B156" s="11" t="s">
        <v>353</v>
      </c>
      <c r="C156" s="16" t="s">
        <v>9</v>
      </c>
      <c r="D156" s="13" t="s">
        <v>35</v>
      </c>
      <c r="E156" s="13">
        <f t="shared" si="3"/>
        <v>-203000</v>
      </c>
      <c r="F156" s="14"/>
      <c r="G156" s="14"/>
      <c r="H156" s="13"/>
      <c r="I156" s="14"/>
      <c r="J156" s="13">
        <v>-203000.0</v>
      </c>
      <c r="K156" s="14"/>
      <c r="L156" s="14"/>
      <c r="M156" s="13"/>
      <c r="N156" s="13"/>
      <c r="O156" s="13">
        <v>203000.0</v>
      </c>
      <c r="P156" s="14"/>
      <c r="Q156" s="14"/>
      <c r="R156" s="14">
        <f t="shared" si="1"/>
        <v>203000</v>
      </c>
      <c r="S156" s="15">
        <f t="shared" si="2"/>
        <v>0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22.5" customHeight="1">
      <c r="A157" s="9">
        <v>45805.0</v>
      </c>
      <c r="B157" s="11" t="s">
        <v>354</v>
      </c>
      <c r="C157" s="16" t="s">
        <v>9</v>
      </c>
      <c r="D157" s="13" t="s">
        <v>156</v>
      </c>
      <c r="E157" s="13">
        <f t="shared" si="3"/>
        <v>-120000</v>
      </c>
      <c r="F157" s="14"/>
      <c r="G157" s="14"/>
      <c r="H157" s="14"/>
      <c r="I157" s="14"/>
      <c r="J157" s="13">
        <v>-120000.0</v>
      </c>
      <c r="K157" s="14"/>
      <c r="L157" s="14"/>
      <c r="M157" s="14"/>
      <c r="N157" s="13"/>
      <c r="O157" s="13">
        <v>120000.0</v>
      </c>
      <c r="P157" s="14"/>
      <c r="Q157" s="14"/>
      <c r="R157" s="14">
        <f t="shared" si="1"/>
        <v>120000</v>
      </c>
      <c r="S157" s="15">
        <f t="shared" si="2"/>
        <v>0</v>
      </c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22.5" customHeight="1">
      <c r="A158" s="9">
        <v>45806.0</v>
      </c>
      <c r="B158" s="11" t="s">
        <v>355</v>
      </c>
      <c r="C158" s="16" t="s">
        <v>356</v>
      </c>
      <c r="D158" s="13" t="s">
        <v>1</v>
      </c>
      <c r="E158" s="13">
        <f t="shared" si="3"/>
        <v>-467000</v>
      </c>
      <c r="F158" s="14"/>
      <c r="G158" s="14"/>
      <c r="H158" s="13">
        <v>-467000.0</v>
      </c>
      <c r="I158" s="14"/>
      <c r="J158" s="14"/>
      <c r="K158" s="14"/>
      <c r="L158" s="14"/>
      <c r="M158" s="13">
        <v>467000.0</v>
      </c>
      <c r="N158" s="14"/>
      <c r="O158" s="14"/>
      <c r="P158" s="14"/>
      <c r="Q158" s="14"/>
      <c r="R158" s="14">
        <f t="shared" si="1"/>
        <v>467000</v>
      </c>
      <c r="S158" s="15">
        <f t="shared" si="2"/>
        <v>0</v>
      </c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22.5" customHeight="1">
      <c r="A159" s="9">
        <v>45806.0</v>
      </c>
      <c r="B159" s="11" t="s">
        <v>357</v>
      </c>
      <c r="C159" s="16" t="s">
        <v>9</v>
      </c>
      <c r="D159" s="13" t="s">
        <v>13</v>
      </c>
      <c r="E159" s="13">
        <f t="shared" si="3"/>
        <v>-363000</v>
      </c>
      <c r="F159" s="14"/>
      <c r="G159" s="14"/>
      <c r="H159" s="14"/>
      <c r="I159" s="14"/>
      <c r="J159" s="14">
        <f>-(120+160+10+23+25+25)*1000</f>
        <v>-363000</v>
      </c>
      <c r="K159" s="14"/>
      <c r="L159" s="14"/>
      <c r="M159" s="14"/>
      <c r="N159" s="14"/>
      <c r="O159" s="14">
        <f>(120+160+10+23+25+25)*1000</f>
        <v>363000</v>
      </c>
      <c r="P159" s="14"/>
      <c r="Q159" s="14"/>
      <c r="R159" s="14">
        <f t="shared" si="1"/>
        <v>363000</v>
      </c>
      <c r="S159" s="15">
        <f t="shared" si="2"/>
        <v>0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22.5" customHeight="1">
      <c r="A160" s="9">
        <v>45807.0</v>
      </c>
      <c r="B160" s="11" t="s">
        <v>228</v>
      </c>
      <c r="C160" s="16" t="s">
        <v>229</v>
      </c>
      <c r="D160" s="13" t="s">
        <v>58</v>
      </c>
      <c r="E160" s="13">
        <f t="shared" si="3"/>
        <v>9799725</v>
      </c>
      <c r="F160" s="13">
        <v>9799725.0</v>
      </c>
      <c r="G160" s="14"/>
      <c r="H160" s="13"/>
      <c r="I160" s="13"/>
      <c r="J160" s="14"/>
      <c r="K160" s="14"/>
      <c r="L160" s="14"/>
      <c r="M160" s="14"/>
      <c r="N160" s="13"/>
      <c r="O160" s="13"/>
      <c r="P160" s="14"/>
      <c r="Q160" s="14"/>
      <c r="R160" s="15">
        <f t="shared" si="1"/>
        <v>0</v>
      </c>
      <c r="S160" s="14">
        <f t="shared" si="2"/>
        <v>-9799725</v>
      </c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22.5" customHeight="1">
      <c r="A161" s="9">
        <v>45807.0</v>
      </c>
      <c r="B161" s="11" t="s">
        <v>358</v>
      </c>
      <c r="C161" s="16" t="s">
        <v>62</v>
      </c>
      <c r="D161" s="13" t="s">
        <v>58</v>
      </c>
      <c r="E161" s="13">
        <f t="shared" si="3"/>
        <v>-5363798</v>
      </c>
      <c r="F161" s="14"/>
      <c r="G161" s="14"/>
      <c r="H161" s="13">
        <v>-5363798.0</v>
      </c>
      <c r="I161" s="13"/>
      <c r="J161" s="14"/>
      <c r="K161" s="14"/>
      <c r="L161" s="14"/>
      <c r="M161" s="14"/>
      <c r="N161" s="13"/>
      <c r="O161" s="13"/>
      <c r="P161" s="14"/>
      <c r="Q161" s="14"/>
      <c r="R161" s="14">
        <f t="shared" si="1"/>
        <v>5363798</v>
      </c>
      <c r="S161" s="15">
        <f t="shared" si="2"/>
        <v>0</v>
      </c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22.5" customHeight="1">
      <c r="A162" s="9">
        <v>45808.0</v>
      </c>
      <c r="B162" s="11" t="s">
        <v>359</v>
      </c>
      <c r="C162" s="16" t="s">
        <v>9</v>
      </c>
      <c r="D162" s="13" t="s">
        <v>13</v>
      </c>
      <c r="E162" s="13">
        <f t="shared" si="3"/>
        <v>-298000</v>
      </c>
      <c r="F162" s="14"/>
      <c r="G162" s="14"/>
      <c r="H162" s="14"/>
      <c r="I162" s="14"/>
      <c r="J162" s="14">
        <f>-(120+47+35+75+21)*1000</f>
        <v>-298000</v>
      </c>
      <c r="K162" s="14"/>
      <c r="L162" s="14"/>
      <c r="M162" s="14"/>
      <c r="N162" s="14"/>
      <c r="O162" s="14">
        <f>(120+47+35+75+21)*1000</f>
        <v>298000</v>
      </c>
      <c r="P162" s="14"/>
      <c r="Q162" s="14"/>
      <c r="R162" s="14">
        <f t="shared" si="1"/>
        <v>298000</v>
      </c>
      <c r="S162" s="15">
        <f t="shared" si="2"/>
        <v>0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22.5" customHeight="1">
      <c r="A163" s="9">
        <v>45808.0</v>
      </c>
      <c r="B163" s="11" t="s">
        <v>360</v>
      </c>
      <c r="C163" s="16" t="s">
        <v>62</v>
      </c>
      <c r="D163" s="13" t="s">
        <v>56</v>
      </c>
      <c r="E163" s="13">
        <f t="shared" si="3"/>
        <v>5000000</v>
      </c>
      <c r="F163" s="13">
        <v>5000000.0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5">
        <f t="shared" si="1"/>
        <v>0</v>
      </c>
      <c r="S163" s="14">
        <f t="shared" si="2"/>
        <v>-5000000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22.5" customHeight="1">
      <c r="A164" s="9">
        <v>45809.0</v>
      </c>
      <c r="B164" s="11" t="s">
        <v>361</v>
      </c>
      <c r="C164" s="16" t="s">
        <v>9</v>
      </c>
      <c r="D164" s="13" t="s">
        <v>24</v>
      </c>
      <c r="E164" s="13">
        <f t="shared" si="3"/>
        <v>-478000</v>
      </c>
      <c r="F164" s="14"/>
      <c r="G164" s="14"/>
      <c r="H164" s="14"/>
      <c r="I164" s="14"/>
      <c r="J164" s="14">
        <f>-(200+278)*1000</f>
        <v>-478000</v>
      </c>
      <c r="K164" s="14"/>
      <c r="L164" s="14"/>
      <c r="M164" s="14"/>
      <c r="N164" s="14"/>
      <c r="O164" s="14">
        <f>(200+278)*1000</f>
        <v>478000</v>
      </c>
      <c r="P164" s="14"/>
      <c r="Q164" s="14"/>
      <c r="R164" s="14">
        <f t="shared" si="1"/>
        <v>478000</v>
      </c>
      <c r="S164" s="15">
        <f t="shared" si="2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22.5" customHeight="1">
      <c r="A165" s="9">
        <v>45809.0</v>
      </c>
      <c r="B165" s="11" t="s">
        <v>362</v>
      </c>
      <c r="C165" s="16" t="s">
        <v>9</v>
      </c>
      <c r="D165" s="13" t="s">
        <v>13</v>
      </c>
      <c r="E165" s="13">
        <f t="shared" si="3"/>
        <v>-489000</v>
      </c>
      <c r="F165" s="14"/>
      <c r="G165" s="14"/>
      <c r="H165" s="14"/>
      <c r="I165" s="14"/>
      <c r="J165" s="14">
        <f>-(120+154+20+45+150)*1000</f>
        <v>-489000</v>
      </c>
      <c r="K165" s="14"/>
      <c r="L165" s="14"/>
      <c r="M165" s="14"/>
      <c r="N165" s="14"/>
      <c r="O165" s="14">
        <f>(120+154+20+45+150)*1000</f>
        <v>489000</v>
      </c>
      <c r="P165" s="14"/>
      <c r="Q165" s="14"/>
      <c r="R165" s="14">
        <f t="shared" si="1"/>
        <v>489000</v>
      </c>
      <c r="S165" s="15">
        <f t="shared" si="2"/>
        <v>0</v>
      </c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22.5" customHeight="1">
      <c r="A166" s="9">
        <v>45809.0</v>
      </c>
      <c r="B166" s="11" t="s">
        <v>363</v>
      </c>
      <c r="C166" s="16" t="s">
        <v>10</v>
      </c>
      <c r="D166" s="13" t="s">
        <v>56</v>
      </c>
      <c r="E166" s="13">
        <f t="shared" si="3"/>
        <v>-3000344</v>
      </c>
      <c r="F166" s="14"/>
      <c r="G166" s="14"/>
      <c r="H166" s="13">
        <v>-3000344.0</v>
      </c>
      <c r="I166" s="13">
        <v>344.0</v>
      </c>
      <c r="J166" s="14"/>
      <c r="K166" s="14"/>
      <c r="L166" s="14"/>
      <c r="M166" s="14"/>
      <c r="N166" s="13"/>
      <c r="O166" s="13">
        <v>3000000.0</v>
      </c>
      <c r="P166" s="14"/>
      <c r="Q166" s="14"/>
      <c r="R166" s="14">
        <f t="shared" si="1"/>
        <v>3000344</v>
      </c>
      <c r="S166" s="15">
        <f t="shared" si="2"/>
        <v>0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22.5" customHeight="1">
      <c r="A167" s="9">
        <v>45811.0</v>
      </c>
      <c r="B167" s="11" t="s">
        <v>364</v>
      </c>
      <c r="C167" s="16" t="s">
        <v>9</v>
      </c>
      <c r="D167" s="13" t="s">
        <v>25</v>
      </c>
      <c r="E167" s="13">
        <f t="shared" si="3"/>
        <v>-1500000</v>
      </c>
      <c r="F167" s="14"/>
      <c r="G167" s="14"/>
      <c r="H167" s="13">
        <v>-1500000.0</v>
      </c>
      <c r="I167" s="14"/>
      <c r="J167" s="13"/>
      <c r="K167" s="14"/>
      <c r="L167" s="14"/>
      <c r="M167" s="14"/>
      <c r="N167" s="14"/>
      <c r="O167" s="14"/>
      <c r="P167" s="14"/>
      <c r="Q167" s="14"/>
      <c r="R167" s="14">
        <f t="shared" si="1"/>
        <v>1500000</v>
      </c>
      <c r="S167" s="15">
        <f t="shared" si="2"/>
        <v>0</v>
      </c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22.5" customHeight="1">
      <c r="A168" s="9">
        <v>45811.0</v>
      </c>
      <c r="B168" s="11" t="s">
        <v>365</v>
      </c>
      <c r="C168" s="16" t="s">
        <v>356</v>
      </c>
      <c r="D168" s="13" t="s">
        <v>1</v>
      </c>
      <c r="E168" s="13">
        <f t="shared" si="3"/>
        <v>-200000</v>
      </c>
      <c r="F168" s="14"/>
      <c r="G168" s="14"/>
      <c r="H168" s="13">
        <v>-200000.0</v>
      </c>
      <c r="I168" s="14"/>
      <c r="J168" s="14"/>
      <c r="K168" s="14"/>
      <c r="L168" s="14"/>
      <c r="M168" s="14"/>
      <c r="N168" s="13"/>
      <c r="O168" s="13">
        <v>200000.0</v>
      </c>
      <c r="P168" s="14"/>
      <c r="Q168" s="14"/>
      <c r="R168" s="14">
        <f t="shared" si="1"/>
        <v>200000</v>
      </c>
      <c r="S168" s="15">
        <f t="shared" si="2"/>
        <v>0</v>
      </c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22.5" customHeight="1">
      <c r="A169" s="9">
        <v>45811.0</v>
      </c>
      <c r="B169" s="11" t="s">
        <v>366</v>
      </c>
      <c r="C169" s="16" t="s">
        <v>9</v>
      </c>
      <c r="D169" s="13" t="s">
        <v>13</v>
      </c>
      <c r="E169" s="13">
        <f t="shared" si="3"/>
        <v>-265000</v>
      </c>
      <c r="F169" s="14"/>
      <c r="G169" s="14"/>
      <c r="H169" s="14"/>
      <c r="I169" s="14"/>
      <c r="J169" s="14">
        <f>-(55+150+60)*1000</f>
        <v>-265000</v>
      </c>
      <c r="K169" s="14"/>
      <c r="L169" s="14"/>
      <c r="M169" s="14">
        <f>(55+150+60)*1000</f>
        <v>265000</v>
      </c>
      <c r="N169" s="14"/>
      <c r="O169" s="14"/>
      <c r="P169" s="14"/>
      <c r="Q169" s="14"/>
      <c r="R169" s="14">
        <f t="shared" si="1"/>
        <v>265000</v>
      </c>
      <c r="S169" s="15">
        <f t="shared" si="2"/>
        <v>0</v>
      </c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22.5" customHeight="1">
      <c r="A170" s="9">
        <v>45811.0</v>
      </c>
      <c r="B170" s="11" t="s">
        <v>252</v>
      </c>
      <c r="C170" s="16" t="s">
        <v>9</v>
      </c>
      <c r="D170" s="13" t="s">
        <v>38</v>
      </c>
      <c r="E170" s="13">
        <f t="shared" si="3"/>
        <v>0</v>
      </c>
      <c r="F170" s="14"/>
      <c r="G170" s="14"/>
      <c r="H170" s="13">
        <v>-2505000.0</v>
      </c>
      <c r="I170" s="14"/>
      <c r="J170" s="13">
        <v>2505000.0</v>
      </c>
      <c r="K170" s="14"/>
      <c r="L170" s="14"/>
      <c r="M170" s="14"/>
      <c r="N170" s="14"/>
      <c r="O170" s="14"/>
      <c r="P170" s="14"/>
      <c r="Q170" s="14"/>
      <c r="R170" s="15">
        <f t="shared" si="1"/>
        <v>0</v>
      </c>
      <c r="S170" s="15">
        <f t="shared" si="2"/>
        <v>0</v>
      </c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22.5" customHeight="1">
      <c r="A171" s="9">
        <v>45811.0</v>
      </c>
      <c r="B171" s="11" t="s">
        <v>308</v>
      </c>
      <c r="C171" s="16" t="s">
        <v>80</v>
      </c>
      <c r="D171" s="13" t="s">
        <v>38</v>
      </c>
      <c r="E171" s="13">
        <f t="shared" si="3"/>
        <v>0</v>
      </c>
      <c r="F171" s="13">
        <v>-2.5E7</v>
      </c>
      <c r="G171" s="14"/>
      <c r="H171" s="13">
        <v>2.5E7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5">
        <f t="shared" si="1"/>
        <v>0</v>
      </c>
      <c r="S171" s="15">
        <f t="shared" si="2"/>
        <v>0</v>
      </c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22.5" customHeight="1">
      <c r="A172" s="9">
        <v>45815.0</v>
      </c>
      <c r="B172" s="11" t="s">
        <v>367</v>
      </c>
      <c r="C172" s="16" t="s">
        <v>368</v>
      </c>
      <c r="D172" s="13" t="s">
        <v>1</v>
      </c>
      <c r="E172" s="13">
        <f t="shared" si="3"/>
        <v>-100317</v>
      </c>
      <c r="F172" s="14"/>
      <c r="G172" s="14"/>
      <c r="H172" s="13">
        <v>-100317.0</v>
      </c>
      <c r="I172" s="13">
        <v>317.0</v>
      </c>
      <c r="J172" s="14"/>
      <c r="K172" s="14"/>
      <c r="L172" s="14"/>
      <c r="M172" s="13">
        <v>1000000.0</v>
      </c>
      <c r="N172" s="14"/>
      <c r="O172" s="14"/>
      <c r="P172" s="14"/>
      <c r="Q172" s="14"/>
      <c r="R172" s="14">
        <f t="shared" si="1"/>
        <v>100317</v>
      </c>
      <c r="S172" s="15">
        <f t="shared" si="2"/>
        <v>0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22.5" customHeight="1">
      <c r="A173" s="9">
        <v>45816.0</v>
      </c>
      <c r="B173" s="11" t="s">
        <v>369</v>
      </c>
      <c r="C173" s="16" t="s">
        <v>368</v>
      </c>
      <c r="D173" s="13" t="s">
        <v>1</v>
      </c>
      <c r="E173" s="13">
        <f t="shared" si="3"/>
        <v>-282500</v>
      </c>
      <c r="F173" s="14"/>
      <c r="G173" s="14"/>
      <c r="H173" s="13">
        <v>-282500.0</v>
      </c>
      <c r="I173" s="13">
        <v>2500.0</v>
      </c>
      <c r="J173" s="14"/>
      <c r="K173" s="14"/>
      <c r="L173" s="14"/>
      <c r="M173" s="14"/>
      <c r="N173" s="14"/>
      <c r="O173" s="14"/>
      <c r="P173" s="14"/>
      <c r="Q173" s="14"/>
      <c r="R173" s="14">
        <f t="shared" si="1"/>
        <v>282500</v>
      </c>
      <c r="S173" s="15">
        <f t="shared" si="2"/>
        <v>0</v>
      </c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22.5" customHeight="1">
      <c r="A174" s="9">
        <v>45819.0</v>
      </c>
      <c r="B174" s="11" t="s">
        <v>370</v>
      </c>
      <c r="C174" s="16" t="s">
        <v>9</v>
      </c>
      <c r="D174" s="21" t="s">
        <v>38</v>
      </c>
      <c r="E174" s="13">
        <f t="shared" si="3"/>
        <v>-797000</v>
      </c>
      <c r="F174" s="14"/>
      <c r="G174" s="14"/>
      <c r="H174" s="13">
        <v>-797000.0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>
        <f t="shared" si="1"/>
        <v>797000</v>
      </c>
      <c r="S174" s="15">
        <f t="shared" si="2"/>
        <v>0</v>
      </c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22.5" customHeight="1">
      <c r="A175" s="9">
        <v>45821.0</v>
      </c>
      <c r="B175" s="11" t="s">
        <v>371</v>
      </c>
      <c r="C175" s="16" t="s">
        <v>9</v>
      </c>
      <c r="D175" s="13" t="s">
        <v>156</v>
      </c>
      <c r="E175" s="13">
        <f t="shared" si="3"/>
        <v>-648000</v>
      </c>
      <c r="F175" s="14"/>
      <c r="G175" s="14"/>
      <c r="H175" s="14"/>
      <c r="I175" s="14"/>
      <c r="J175" s="14">
        <f>-(357+291)*1000</f>
        <v>-648000</v>
      </c>
      <c r="K175" s="14"/>
      <c r="L175" s="14"/>
      <c r="M175" s="14"/>
      <c r="N175" s="14"/>
      <c r="O175" s="14"/>
      <c r="P175" s="14"/>
      <c r="Q175" s="14"/>
      <c r="R175" s="14">
        <f t="shared" si="1"/>
        <v>648000</v>
      </c>
      <c r="S175" s="15">
        <f t="shared" si="2"/>
        <v>0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22.5" customHeight="1">
      <c r="A176" s="9">
        <v>45821.0</v>
      </c>
      <c r="B176" s="11" t="s">
        <v>372</v>
      </c>
      <c r="C176" s="16" t="s">
        <v>9</v>
      </c>
      <c r="D176" s="13" t="s">
        <v>13</v>
      </c>
      <c r="E176" s="13">
        <f t="shared" si="3"/>
        <v>-366000</v>
      </c>
      <c r="F176" s="14"/>
      <c r="G176" s="14"/>
      <c r="H176" s="14"/>
      <c r="I176" s="14"/>
      <c r="J176" s="14">
        <f>-(35+30+152+80+69)*1000</f>
        <v>-366000</v>
      </c>
      <c r="K176" s="14"/>
      <c r="L176" s="14"/>
      <c r="M176" s="14"/>
      <c r="N176" s="14"/>
      <c r="O176" s="14"/>
      <c r="P176" s="14"/>
      <c r="Q176" s="14"/>
      <c r="R176" s="14">
        <f t="shared" si="1"/>
        <v>366000</v>
      </c>
      <c r="S176" s="15">
        <f t="shared" si="2"/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22.5" customHeight="1">
      <c r="A177" s="9">
        <v>45821.0</v>
      </c>
      <c r="B177" s="11" t="s">
        <v>373</v>
      </c>
      <c r="C177" s="16" t="s">
        <v>9</v>
      </c>
      <c r="D177" s="13" t="s">
        <v>38</v>
      </c>
      <c r="E177" s="13">
        <f t="shared" si="3"/>
        <v>0</v>
      </c>
      <c r="F177" s="14"/>
      <c r="G177" s="14"/>
      <c r="H177" s="13">
        <v>-265000.0</v>
      </c>
      <c r="I177" s="14"/>
      <c r="J177" s="13">
        <v>265000.0</v>
      </c>
      <c r="K177" s="14"/>
      <c r="L177" s="14"/>
      <c r="M177" s="14"/>
      <c r="N177" s="14"/>
      <c r="O177" s="14"/>
      <c r="P177" s="14"/>
      <c r="Q177" s="14"/>
      <c r="R177" s="15">
        <f t="shared" si="1"/>
        <v>0</v>
      </c>
      <c r="S177" s="15">
        <f t="shared" si="2"/>
        <v>0</v>
      </c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22.5" customHeight="1">
      <c r="A178" s="9">
        <v>45823.0</v>
      </c>
      <c r="B178" s="11" t="s">
        <v>374</v>
      </c>
      <c r="C178" s="16" t="s">
        <v>9</v>
      </c>
      <c r="D178" s="13" t="s">
        <v>42</v>
      </c>
      <c r="E178" s="13">
        <f t="shared" si="3"/>
        <v>-200000</v>
      </c>
      <c r="F178" s="14"/>
      <c r="G178" s="14"/>
      <c r="H178" s="14"/>
      <c r="I178" s="14"/>
      <c r="J178" s="13">
        <v>-200000.0</v>
      </c>
      <c r="K178" s="14"/>
      <c r="L178" s="14"/>
      <c r="M178" s="14"/>
      <c r="N178" s="14"/>
      <c r="O178" s="14"/>
      <c r="P178" s="14"/>
      <c r="Q178" s="14"/>
      <c r="R178" s="14">
        <f t="shared" si="1"/>
        <v>200000</v>
      </c>
      <c r="S178" s="15">
        <f t="shared" si="2"/>
        <v>0</v>
      </c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22.5" customHeight="1">
      <c r="A179" s="9">
        <v>45823.0</v>
      </c>
      <c r="B179" s="11" t="s">
        <v>375</v>
      </c>
      <c r="C179" s="16" t="s">
        <v>9</v>
      </c>
      <c r="D179" s="13" t="s">
        <v>156</v>
      </c>
      <c r="E179" s="13">
        <f t="shared" si="3"/>
        <v>-86000</v>
      </c>
      <c r="F179" s="14"/>
      <c r="G179" s="14"/>
      <c r="H179" s="14"/>
      <c r="I179" s="14"/>
      <c r="J179" s="13">
        <v>-86000.0</v>
      </c>
      <c r="K179" s="14"/>
      <c r="L179" s="14"/>
      <c r="M179" s="14"/>
      <c r="N179" s="14"/>
      <c r="O179" s="14"/>
      <c r="P179" s="14"/>
      <c r="Q179" s="14"/>
      <c r="R179" s="14">
        <f t="shared" si="1"/>
        <v>86000</v>
      </c>
      <c r="S179" s="15">
        <f t="shared" si="2"/>
        <v>0</v>
      </c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22.5" customHeight="1">
      <c r="A180" s="9">
        <v>45823.0</v>
      </c>
      <c r="B180" s="11" t="s">
        <v>376</v>
      </c>
      <c r="C180" s="16" t="s">
        <v>377</v>
      </c>
      <c r="D180" s="13" t="s">
        <v>156</v>
      </c>
      <c r="E180" s="13">
        <f t="shared" si="3"/>
        <v>-1260000</v>
      </c>
      <c r="F180" s="14"/>
      <c r="G180" s="14"/>
      <c r="H180" s="13">
        <v>-1260000.0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>
        <f t="shared" si="1"/>
        <v>1260000</v>
      </c>
      <c r="S180" s="15">
        <f t="shared" si="2"/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22.5" customHeight="1">
      <c r="A181" s="9">
        <v>45823.0</v>
      </c>
      <c r="B181" s="11" t="s">
        <v>378</v>
      </c>
      <c r="C181" s="16" t="s">
        <v>379</v>
      </c>
      <c r="D181" s="13" t="s">
        <v>1</v>
      </c>
      <c r="E181" s="13">
        <f t="shared" si="3"/>
        <v>-1000000</v>
      </c>
      <c r="F181" s="14"/>
      <c r="G181" s="14"/>
      <c r="H181" s="13">
        <v>-1000000.0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14">
        <f t="shared" si="1"/>
        <v>1000000</v>
      </c>
      <c r="S181" s="15">
        <f t="shared" si="2"/>
        <v>0</v>
      </c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22.5" customHeight="1">
      <c r="A182" s="9">
        <v>45823.0</v>
      </c>
      <c r="B182" s="11" t="s">
        <v>380</v>
      </c>
      <c r="C182" s="16" t="s">
        <v>9</v>
      </c>
      <c r="D182" s="13" t="s">
        <v>13</v>
      </c>
      <c r="E182" s="13">
        <f t="shared" si="3"/>
        <v>-766000</v>
      </c>
      <c r="F182" s="14"/>
      <c r="G182" s="14"/>
      <c r="H182" s="14"/>
      <c r="I182" s="14"/>
      <c r="J182" s="14">
        <f>-(320+310+26+15+10+10+10+25+20+20)*1000</f>
        <v>-766000</v>
      </c>
      <c r="K182" s="14"/>
      <c r="L182" s="14"/>
      <c r="M182" s="14"/>
      <c r="N182" s="14"/>
      <c r="O182" s="14"/>
      <c r="P182" s="14"/>
      <c r="Q182" s="14"/>
      <c r="R182" s="14">
        <f t="shared" si="1"/>
        <v>766000</v>
      </c>
      <c r="S182" s="15">
        <f t="shared" si="2"/>
        <v>0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22.5" customHeight="1">
      <c r="A183" s="9">
        <v>45823.0</v>
      </c>
      <c r="B183" s="11" t="s">
        <v>381</v>
      </c>
      <c r="C183" s="16" t="s">
        <v>9</v>
      </c>
      <c r="D183" s="13" t="s">
        <v>13</v>
      </c>
      <c r="E183" s="13">
        <f t="shared" si="3"/>
        <v>-200000</v>
      </c>
      <c r="F183" s="14"/>
      <c r="G183" s="14"/>
      <c r="H183" s="14"/>
      <c r="I183" s="14"/>
      <c r="J183" s="13">
        <v>-200000.0</v>
      </c>
      <c r="K183" s="14"/>
      <c r="L183" s="14"/>
      <c r="M183" s="14"/>
      <c r="N183" s="14"/>
      <c r="O183" s="14"/>
      <c r="P183" s="14"/>
      <c r="Q183" s="14"/>
      <c r="R183" s="14">
        <f t="shared" si="1"/>
        <v>200000</v>
      </c>
      <c r="S183" s="15">
        <f t="shared" si="2"/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22.5" customHeight="1">
      <c r="A184" s="9">
        <v>45823.0</v>
      </c>
      <c r="B184" s="11" t="s">
        <v>382</v>
      </c>
      <c r="C184" s="16" t="s">
        <v>82</v>
      </c>
      <c r="D184" s="13" t="s">
        <v>27</v>
      </c>
      <c r="E184" s="13">
        <f t="shared" si="3"/>
        <v>-2000315</v>
      </c>
      <c r="F184" s="14"/>
      <c r="G184" s="14"/>
      <c r="H184" s="13">
        <v>-2000315.0</v>
      </c>
      <c r="I184" s="13">
        <v>315.0</v>
      </c>
      <c r="J184" s="14"/>
      <c r="K184" s="13">
        <v>2000000.0</v>
      </c>
      <c r="L184" s="14"/>
      <c r="M184" s="14"/>
      <c r="N184" s="14"/>
      <c r="O184" s="14"/>
      <c r="P184" s="14"/>
      <c r="Q184" s="14"/>
      <c r="R184" s="14">
        <f t="shared" si="1"/>
        <v>2000315</v>
      </c>
      <c r="S184" s="15">
        <f t="shared" si="2"/>
        <v>0</v>
      </c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22.5" customHeight="1">
      <c r="A185" s="9">
        <v>45823.0</v>
      </c>
      <c r="B185" s="11" t="s">
        <v>383</v>
      </c>
      <c r="C185" s="16" t="s">
        <v>73</v>
      </c>
      <c r="D185" s="13" t="s">
        <v>27</v>
      </c>
      <c r="E185" s="13">
        <f t="shared" si="3"/>
        <v>-1000000</v>
      </c>
      <c r="F185" s="14"/>
      <c r="G185" s="14"/>
      <c r="H185" s="13">
        <v>-1000000.0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>
        <f t="shared" si="1"/>
        <v>1000000</v>
      </c>
      <c r="S185" s="15">
        <f t="shared" si="2"/>
        <v>0</v>
      </c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22.5" customHeight="1">
      <c r="A186" s="9">
        <v>45823.0</v>
      </c>
      <c r="B186" s="11" t="s">
        <v>252</v>
      </c>
      <c r="C186" s="16" t="s">
        <v>9</v>
      </c>
      <c r="D186" s="13" t="s">
        <v>38</v>
      </c>
      <c r="E186" s="13">
        <f t="shared" si="3"/>
        <v>0</v>
      </c>
      <c r="F186" s="14"/>
      <c r="G186" s="14"/>
      <c r="H186" s="13">
        <v>-2266000.0</v>
      </c>
      <c r="I186" s="14"/>
      <c r="J186" s="13">
        <v>2266000.0</v>
      </c>
      <c r="K186" s="14"/>
      <c r="L186" s="14"/>
      <c r="M186" s="14"/>
      <c r="N186" s="14"/>
      <c r="O186" s="14"/>
      <c r="P186" s="14"/>
      <c r="Q186" s="14"/>
      <c r="R186" s="15">
        <f t="shared" si="1"/>
        <v>0</v>
      </c>
      <c r="S186" s="15">
        <f t="shared" si="2"/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22.5" customHeight="1">
      <c r="A187" s="9">
        <v>45824.0</v>
      </c>
      <c r="B187" s="11" t="s">
        <v>384</v>
      </c>
      <c r="C187" s="16" t="s">
        <v>83</v>
      </c>
      <c r="D187" s="13" t="s">
        <v>156</v>
      </c>
      <c r="E187" s="13">
        <f t="shared" si="3"/>
        <v>-1946500</v>
      </c>
      <c r="F187" s="14"/>
      <c r="G187" s="14"/>
      <c r="H187" s="13">
        <v>-1946500.0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14">
        <f t="shared" si="1"/>
        <v>1946500</v>
      </c>
      <c r="S187" s="15">
        <f t="shared" si="2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22.5" customHeight="1">
      <c r="A188" s="9">
        <v>45824.0</v>
      </c>
      <c r="B188" s="11" t="s">
        <v>385</v>
      </c>
      <c r="C188" s="16" t="s">
        <v>377</v>
      </c>
      <c r="D188" s="13" t="s">
        <v>13</v>
      </c>
      <c r="E188" s="13">
        <f t="shared" si="3"/>
        <v>-680000</v>
      </c>
      <c r="F188" s="14"/>
      <c r="G188" s="14"/>
      <c r="H188" s="14">
        <f>-(200+300+150+30)*1000</f>
        <v>-680000</v>
      </c>
      <c r="I188" s="14"/>
      <c r="J188" s="14"/>
      <c r="K188" s="14"/>
      <c r="L188" s="14"/>
      <c r="M188" s="14">
        <f>(200+300+150+30)*1000</f>
        <v>680000</v>
      </c>
      <c r="N188" s="14"/>
      <c r="O188" s="14"/>
      <c r="P188" s="14"/>
      <c r="Q188" s="14"/>
      <c r="R188" s="14">
        <f t="shared" si="1"/>
        <v>680000</v>
      </c>
      <c r="S188" s="15">
        <f t="shared" si="2"/>
        <v>0</v>
      </c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22.5" customHeight="1">
      <c r="A189" s="9">
        <v>45824.0</v>
      </c>
      <c r="B189" s="11" t="s">
        <v>386</v>
      </c>
      <c r="C189" s="16" t="s">
        <v>9</v>
      </c>
      <c r="D189" s="13" t="s">
        <v>13</v>
      </c>
      <c r="E189" s="13">
        <f t="shared" si="3"/>
        <v>-200000</v>
      </c>
      <c r="F189" s="14"/>
      <c r="G189" s="14"/>
      <c r="H189" s="14"/>
      <c r="I189" s="14"/>
      <c r="J189" s="13">
        <v>-200000.0</v>
      </c>
      <c r="K189" s="14"/>
      <c r="L189" s="14"/>
      <c r="M189" s="14"/>
      <c r="N189" s="14"/>
      <c r="O189" s="14"/>
      <c r="P189" s="14"/>
      <c r="Q189" s="14"/>
      <c r="R189" s="14">
        <f t="shared" si="1"/>
        <v>200000</v>
      </c>
      <c r="S189" s="15">
        <f t="shared" si="2"/>
        <v>0</v>
      </c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22.5" customHeight="1">
      <c r="A190" s="9">
        <v>45825.0</v>
      </c>
      <c r="B190" s="11" t="s">
        <v>387</v>
      </c>
      <c r="C190" s="16" t="s">
        <v>72</v>
      </c>
      <c r="D190" s="13" t="s">
        <v>13</v>
      </c>
      <c r="E190" s="13">
        <f t="shared" si="3"/>
        <v>-516000</v>
      </c>
      <c r="F190" s="14"/>
      <c r="G190" s="14"/>
      <c r="H190" s="13">
        <v>-516000.0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>
        <f t="shared" si="1"/>
        <v>516000</v>
      </c>
      <c r="S190" s="15">
        <f t="shared" si="2"/>
        <v>0</v>
      </c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22.5" customHeight="1">
      <c r="A191" s="9">
        <v>45829.0</v>
      </c>
      <c r="B191" s="11" t="s">
        <v>388</v>
      </c>
      <c r="C191" s="16" t="s">
        <v>9</v>
      </c>
      <c r="D191" s="13" t="s">
        <v>13</v>
      </c>
      <c r="E191" s="13">
        <f t="shared" si="3"/>
        <v>-270000</v>
      </c>
      <c r="F191" s="14"/>
      <c r="G191" s="14"/>
      <c r="H191" s="14"/>
      <c r="I191" s="14"/>
      <c r="J191" s="14">
        <f>-(120+150)*1000</f>
        <v>-270000</v>
      </c>
      <c r="K191" s="14"/>
      <c r="L191" s="14"/>
      <c r="M191" s="14"/>
      <c r="N191" s="14">
        <f>(120+150)*1000</f>
        <v>270000</v>
      </c>
      <c r="O191" s="14"/>
      <c r="P191" s="14"/>
      <c r="Q191" s="14"/>
      <c r="R191" s="14">
        <f t="shared" si="1"/>
        <v>270000</v>
      </c>
      <c r="S191" s="15">
        <f t="shared" si="2"/>
        <v>0</v>
      </c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22.5" customHeight="1">
      <c r="A192" s="9">
        <v>45829.0</v>
      </c>
      <c r="B192" s="11" t="s">
        <v>389</v>
      </c>
      <c r="C192" s="16" t="s">
        <v>9</v>
      </c>
      <c r="D192" s="13" t="s">
        <v>13</v>
      </c>
      <c r="E192" s="13">
        <f t="shared" si="3"/>
        <v>-170000</v>
      </c>
      <c r="F192" s="14"/>
      <c r="G192" s="14"/>
      <c r="H192" s="14"/>
      <c r="I192" s="14"/>
      <c r="J192" s="14">
        <f>-170000</f>
        <v>-170000</v>
      </c>
      <c r="K192" s="14"/>
      <c r="L192" s="14"/>
      <c r="M192" s="13"/>
      <c r="N192" s="13">
        <v>170000.0</v>
      </c>
      <c r="O192" s="14"/>
      <c r="P192" s="14"/>
      <c r="Q192" s="14"/>
      <c r="R192" s="14">
        <f t="shared" si="1"/>
        <v>170000</v>
      </c>
      <c r="S192" s="15">
        <f t="shared" si="2"/>
        <v>0</v>
      </c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22.5" customHeight="1">
      <c r="A193" s="9">
        <v>45831.0</v>
      </c>
      <c r="B193" s="11" t="s">
        <v>390</v>
      </c>
      <c r="C193" s="16" t="s">
        <v>391</v>
      </c>
      <c r="D193" s="13" t="s">
        <v>156</v>
      </c>
      <c r="E193" s="13">
        <f t="shared" si="3"/>
        <v>-1000000</v>
      </c>
      <c r="F193" s="14"/>
      <c r="G193" s="14"/>
      <c r="H193" s="13">
        <v>-1000000.0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>
        <f t="shared" si="1"/>
        <v>1000000</v>
      </c>
      <c r="S193" s="15">
        <f t="shared" si="2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22.5" customHeight="1">
      <c r="A194" s="9">
        <v>45831.0</v>
      </c>
      <c r="B194" s="11" t="s">
        <v>392</v>
      </c>
      <c r="C194" s="16" t="s">
        <v>9</v>
      </c>
      <c r="D194" s="13" t="s">
        <v>35</v>
      </c>
      <c r="E194" s="13">
        <f t="shared" si="3"/>
        <v>-300000</v>
      </c>
      <c r="F194" s="14"/>
      <c r="G194" s="14"/>
      <c r="H194" s="14"/>
      <c r="I194" s="14"/>
      <c r="J194" s="13">
        <v>-300000.0</v>
      </c>
      <c r="K194" s="14"/>
      <c r="L194" s="14"/>
      <c r="M194" s="14"/>
      <c r="N194" s="14"/>
      <c r="O194" s="14"/>
      <c r="P194" s="14"/>
      <c r="Q194" s="14"/>
      <c r="R194" s="14">
        <f t="shared" si="1"/>
        <v>300000</v>
      </c>
      <c r="S194" s="15">
        <f t="shared" si="2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22.5" customHeight="1">
      <c r="A195" s="9">
        <v>45832.0</v>
      </c>
      <c r="B195" s="11" t="s">
        <v>393</v>
      </c>
      <c r="C195" s="16" t="s">
        <v>9</v>
      </c>
      <c r="D195" s="13" t="s">
        <v>38</v>
      </c>
      <c r="E195" s="13">
        <f t="shared" si="3"/>
        <v>0</v>
      </c>
      <c r="F195" s="14"/>
      <c r="G195" s="14"/>
      <c r="H195" s="13">
        <v>-200000.0</v>
      </c>
      <c r="I195" s="14"/>
      <c r="J195" s="13">
        <v>200000.0</v>
      </c>
      <c r="K195" s="14"/>
      <c r="L195" s="14"/>
      <c r="M195" s="14"/>
      <c r="N195" s="14"/>
      <c r="O195" s="14"/>
      <c r="P195" s="14"/>
      <c r="Q195" s="14"/>
      <c r="R195" s="15">
        <f t="shared" si="1"/>
        <v>0</v>
      </c>
      <c r="S195" s="15">
        <f t="shared" si="2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22.5" customHeight="1">
      <c r="A196" s="9">
        <v>45833.0</v>
      </c>
      <c r="B196" s="11" t="s">
        <v>394</v>
      </c>
      <c r="C196" s="16" t="s">
        <v>9</v>
      </c>
      <c r="D196" s="13" t="s">
        <v>38</v>
      </c>
      <c r="E196" s="13">
        <f t="shared" si="3"/>
        <v>0</v>
      </c>
      <c r="F196" s="14"/>
      <c r="G196" s="14"/>
      <c r="H196" s="13">
        <v>-440000.0</v>
      </c>
      <c r="I196" s="14"/>
      <c r="J196" s="13">
        <v>440000.0</v>
      </c>
      <c r="K196" s="14"/>
      <c r="L196" s="14"/>
      <c r="M196" s="14"/>
      <c r="N196" s="14"/>
      <c r="O196" s="14"/>
      <c r="P196" s="14"/>
      <c r="Q196" s="14"/>
      <c r="R196" s="15">
        <f t="shared" si="1"/>
        <v>0</v>
      </c>
      <c r="S196" s="15">
        <f t="shared" si="2"/>
        <v>0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22.5" customHeight="1">
      <c r="A197" s="9">
        <v>45834.0</v>
      </c>
      <c r="B197" s="11" t="s">
        <v>395</v>
      </c>
      <c r="C197" s="16" t="s">
        <v>396</v>
      </c>
      <c r="D197" s="13" t="s">
        <v>15</v>
      </c>
      <c r="E197" s="13">
        <f t="shared" si="3"/>
        <v>-500319</v>
      </c>
      <c r="F197" s="14"/>
      <c r="G197" s="14"/>
      <c r="H197" s="13">
        <v>-500319.0</v>
      </c>
      <c r="I197" s="13">
        <v>319.0</v>
      </c>
      <c r="J197" s="14"/>
      <c r="K197" s="14"/>
      <c r="L197" s="14"/>
      <c r="M197" s="14"/>
      <c r="N197" s="14"/>
      <c r="O197" s="14"/>
      <c r="P197" s="13">
        <v>500000.0</v>
      </c>
      <c r="Q197" s="14"/>
      <c r="R197" s="14">
        <f t="shared" si="1"/>
        <v>500319</v>
      </c>
      <c r="S197" s="15">
        <f t="shared" si="2"/>
        <v>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22.5" customHeight="1">
      <c r="A198" s="9">
        <v>45834.0</v>
      </c>
      <c r="B198" s="11" t="s">
        <v>397</v>
      </c>
      <c r="C198" s="16" t="s">
        <v>83</v>
      </c>
      <c r="D198" s="13" t="s">
        <v>57</v>
      </c>
      <c r="E198" s="13">
        <f t="shared" si="3"/>
        <v>550000</v>
      </c>
      <c r="F198" s="13">
        <v>550000.0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5">
        <f t="shared" si="1"/>
        <v>0</v>
      </c>
      <c r="S198" s="14">
        <f t="shared" si="2"/>
        <v>-550000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22.5" customHeight="1">
      <c r="A199" s="9">
        <v>45835.0</v>
      </c>
      <c r="B199" s="11" t="s">
        <v>398</v>
      </c>
      <c r="C199" s="16" t="s">
        <v>399</v>
      </c>
      <c r="D199" s="13" t="s">
        <v>13</v>
      </c>
      <c r="E199" s="13">
        <f t="shared" si="3"/>
        <v>-300313</v>
      </c>
      <c r="F199" s="13"/>
      <c r="G199" s="14"/>
      <c r="H199" s="13">
        <v>-300313.0</v>
      </c>
      <c r="I199" s="13">
        <v>313.0</v>
      </c>
      <c r="J199" s="14"/>
      <c r="K199" s="14"/>
      <c r="L199" s="14"/>
      <c r="M199" s="14"/>
      <c r="N199" s="13">
        <v>300000.0</v>
      </c>
      <c r="O199" s="14"/>
      <c r="P199" s="14"/>
      <c r="Q199" s="14"/>
      <c r="R199" s="14">
        <f t="shared" si="1"/>
        <v>300313</v>
      </c>
      <c r="S199" s="15">
        <f t="shared" si="2"/>
        <v>0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22.5" customHeight="1">
      <c r="A200" s="9">
        <v>45838.0</v>
      </c>
      <c r="B200" s="11" t="s">
        <v>228</v>
      </c>
      <c r="C200" s="16" t="s">
        <v>229</v>
      </c>
      <c r="D200" s="13" t="s">
        <v>58</v>
      </c>
      <c r="E200" s="13">
        <f t="shared" si="3"/>
        <v>5542100</v>
      </c>
      <c r="F200" s="13">
        <v>5542100.0</v>
      </c>
      <c r="G200" s="14"/>
      <c r="H200" s="13"/>
      <c r="I200" s="14"/>
      <c r="J200" s="14"/>
      <c r="K200" s="14"/>
      <c r="L200" s="14"/>
      <c r="M200" s="14"/>
      <c r="N200" s="14"/>
      <c r="O200" s="14"/>
      <c r="P200" s="14"/>
      <c r="Q200" s="14"/>
      <c r="R200" s="15">
        <f t="shared" si="1"/>
        <v>0</v>
      </c>
      <c r="S200" s="14">
        <f t="shared" si="2"/>
        <v>-5542100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22.5" customHeight="1">
      <c r="A201" s="9">
        <v>45838.0</v>
      </c>
      <c r="B201" s="11" t="s">
        <v>58</v>
      </c>
      <c r="C201" s="16" t="s">
        <v>62</v>
      </c>
      <c r="D201" s="13" t="s">
        <v>58</v>
      </c>
      <c r="E201" s="13">
        <f t="shared" si="3"/>
        <v>-2575410</v>
      </c>
      <c r="F201" s="14"/>
      <c r="G201" s="14"/>
      <c r="H201" s="13">
        <v>-2575410.0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>
        <f t="shared" si="1"/>
        <v>2575410</v>
      </c>
      <c r="S201" s="15">
        <f t="shared" si="2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22.5" customHeight="1">
      <c r="A202" s="9">
        <v>45838.0</v>
      </c>
      <c r="B202" s="11" t="s">
        <v>400</v>
      </c>
      <c r="C202" s="16" t="s">
        <v>318</v>
      </c>
      <c r="D202" s="13" t="s">
        <v>28</v>
      </c>
      <c r="E202" s="13">
        <f t="shared" si="3"/>
        <v>-300000</v>
      </c>
      <c r="F202" s="14"/>
      <c r="G202" s="14"/>
      <c r="H202" s="13">
        <v>-300000.0</v>
      </c>
      <c r="I202" s="14"/>
      <c r="J202" s="14"/>
      <c r="K202" s="14"/>
      <c r="L202" s="14"/>
      <c r="M202" s="14"/>
      <c r="N202" s="14"/>
      <c r="O202" s="13">
        <v>300000.0</v>
      </c>
      <c r="P202" s="14"/>
      <c r="Q202" s="14"/>
      <c r="R202" s="14">
        <f t="shared" si="1"/>
        <v>300000</v>
      </c>
      <c r="S202" s="15">
        <f t="shared" si="2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22.5" customHeight="1">
      <c r="A203" s="9">
        <v>45838.0</v>
      </c>
      <c r="B203" s="11" t="s">
        <v>401</v>
      </c>
      <c r="C203" s="16" t="s">
        <v>318</v>
      </c>
      <c r="D203" s="13" t="s">
        <v>15</v>
      </c>
      <c r="E203" s="13">
        <f t="shared" si="3"/>
        <v>-300000</v>
      </c>
      <c r="F203" s="14"/>
      <c r="G203" s="14"/>
      <c r="H203" s="13">
        <v>-300000.0</v>
      </c>
      <c r="I203" s="14"/>
      <c r="J203" s="14"/>
      <c r="K203" s="14"/>
      <c r="L203" s="14"/>
      <c r="M203" s="14"/>
      <c r="N203" s="14"/>
      <c r="O203" s="14"/>
      <c r="P203" s="13">
        <v>300000.0</v>
      </c>
      <c r="Q203" s="14"/>
      <c r="R203" s="14">
        <f t="shared" si="1"/>
        <v>300000</v>
      </c>
      <c r="S203" s="15">
        <f t="shared" si="2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22.5" customHeight="1">
      <c r="A204" s="9">
        <v>45840.0</v>
      </c>
      <c r="B204" s="11" t="s">
        <v>402</v>
      </c>
      <c r="C204" s="16" t="s">
        <v>9</v>
      </c>
      <c r="D204" s="13" t="s">
        <v>25</v>
      </c>
      <c r="E204" s="13">
        <f t="shared" si="3"/>
        <v>-1500000</v>
      </c>
      <c r="F204" s="14"/>
      <c r="G204" s="14"/>
      <c r="H204" s="13">
        <v>-1500000.0</v>
      </c>
      <c r="I204" s="14"/>
      <c r="J204" s="14"/>
      <c r="K204" s="14"/>
      <c r="L204" s="14"/>
      <c r="M204" s="14"/>
      <c r="N204" s="14"/>
      <c r="O204" s="14"/>
      <c r="P204" s="14"/>
      <c r="Q204" s="14"/>
      <c r="R204" s="14">
        <f t="shared" si="1"/>
        <v>1500000</v>
      </c>
      <c r="S204" s="15">
        <f t="shared" si="2"/>
        <v>0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22.5" customHeight="1">
      <c r="A205" s="9">
        <v>45841.0</v>
      </c>
      <c r="B205" s="11" t="s">
        <v>403</v>
      </c>
      <c r="C205" s="16" t="s">
        <v>9</v>
      </c>
      <c r="D205" s="13" t="s">
        <v>38</v>
      </c>
      <c r="E205" s="13">
        <f t="shared" si="3"/>
        <v>0</v>
      </c>
      <c r="F205" s="14"/>
      <c r="G205" s="14"/>
      <c r="H205" s="13">
        <v>-500000.0</v>
      </c>
      <c r="I205" s="14"/>
      <c r="J205" s="13">
        <v>500000.0</v>
      </c>
      <c r="K205" s="14"/>
      <c r="L205" s="14"/>
      <c r="M205" s="14"/>
      <c r="N205" s="14"/>
      <c r="O205" s="14"/>
      <c r="P205" s="14"/>
      <c r="Q205" s="14"/>
      <c r="R205" s="15">
        <f t="shared" si="1"/>
        <v>0</v>
      </c>
      <c r="S205" s="15">
        <f t="shared" si="2"/>
        <v>0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22.5" customHeight="1">
      <c r="A206" s="9">
        <v>45841.0</v>
      </c>
      <c r="B206" s="11" t="s">
        <v>404</v>
      </c>
      <c r="C206" s="16" t="s">
        <v>9</v>
      </c>
      <c r="D206" s="13" t="s">
        <v>35</v>
      </c>
      <c r="E206" s="13">
        <f t="shared" si="3"/>
        <v>-200000</v>
      </c>
      <c r="F206" s="14"/>
      <c r="G206" s="14"/>
      <c r="H206" s="14"/>
      <c r="I206" s="14"/>
      <c r="J206" s="13">
        <v>-200000.0</v>
      </c>
      <c r="K206" s="14"/>
      <c r="L206" s="14"/>
      <c r="M206" s="14"/>
      <c r="N206" s="14"/>
      <c r="O206" s="14"/>
      <c r="P206" s="14"/>
      <c r="Q206" s="14"/>
      <c r="R206" s="14">
        <f t="shared" si="1"/>
        <v>200000</v>
      </c>
      <c r="S206" s="15">
        <f t="shared" si="2"/>
        <v>0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22.5" customHeight="1">
      <c r="A207" s="9">
        <v>45844.0</v>
      </c>
      <c r="B207" s="11" t="s">
        <v>405</v>
      </c>
      <c r="C207" s="16" t="s">
        <v>9</v>
      </c>
      <c r="D207" s="13" t="s">
        <v>13</v>
      </c>
      <c r="E207" s="13">
        <f t="shared" si="3"/>
        <v>-480000</v>
      </c>
      <c r="F207" s="14"/>
      <c r="G207" s="14"/>
      <c r="H207" s="14"/>
      <c r="I207" s="14"/>
      <c r="J207" s="14">
        <f>-(17+126+17+20+100+200)*1000</f>
        <v>-480000</v>
      </c>
      <c r="K207" s="14"/>
      <c r="L207" s="14"/>
      <c r="M207" s="14"/>
      <c r="N207" s="13">
        <v>480000.0</v>
      </c>
      <c r="O207" s="14"/>
      <c r="P207" s="14"/>
      <c r="Q207" s="14"/>
      <c r="R207" s="14">
        <f t="shared" si="1"/>
        <v>480000</v>
      </c>
      <c r="S207" s="15">
        <f t="shared" si="2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22.5" customHeight="1">
      <c r="A208" s="9">
        <v>45844.0</v>
      </c>
      <c r="B208" s="11" t="s">
        <v>406</v>
      </c>
      <c r="C208" s="16" t="s">
        <v>9</v>
      </c>
      <c r="D208" s="13" t="s">
        <v>35</v>
      </c>
      <c r="E208" s="13">
        <f t="shared" si="3"/>
        <v>-67000</v>
      </c>
      <c r="F208" s="14"/>
      <c r="G208" s="14"/>
      <c r="H208" s="14"/>
      <c r="I208" s="14"/>
      <c r="J208" s="13">
        <v>-67000.0</v>
      </c>
      <c r="K208" s="14"/>
      <c r="L208" s="14"/>
      <c r="M208" s="14"/>
      <c r="N208" s="14"/>
      <c r="O208" s="13">
        <v>67000.0</v>
      </c>
      <c r="P208" s="14"/>
      <c r="Q208" s="14"/>
      <c r="R208" s="14">
        <f t="shared" si="1"/>
        <v>67000</v>
      </c>
      <c r="S208" s="15">
        <f t="shared" si="2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22.5" customHeight="1">
      <c r="A209" s="9">
        <v>45845.0</v>
      </c>
      <c r="B209" s="11" t="s">
        <v>407</v>
      </c>
      <c r="C209" s="16" t="s">
        <v>9</v>
      </c>
      <c r="D209" s="13" t="s">
        <v>13</v>
      </c>
      <c r="E209" s="13">
        <f t="shared" si="3"/>
        <v>-300000</v>
      </c>
      <c r="F209" s="14"/>
      <c r="G209" s="14"/>
      <c r="H209" s="14"/>
      <c r="I209" s="14"/>
      <c r="J209" s="13">
        <v>-300000.0</v>
      </c>
      <c r="K209" s="14"/>
      <c r="L209" s="14"/>
      <c r="M209" s="14"/>
      <c r="N209" s="13">
        <v>300000.0</v>
      </c>
      <c r="O209" s="14"/>
      <c r="P209" s="14"/>
      <c r="Q209" s="14"/>
      <c r="R209" s="14">
        <f t="shared" si="1"/>
        <v>300000</v>
      </c>
      <c r="S209" s="15">
        <f t="shared" si="2"/>
        <v>0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22.5" customHeight="1">
      <c r="A210" s="9">
        <v>45845.0</v>
      </c>
      <c r="B210" s="11" t="s">
        <v>408</v>
      </c>
      <c r="C210" s="16" t="s">
        <v>9</v>
      </c>
      <c r="D210" s="13" t="s">
        <v>13</v>
      </c>
      <c r="E210" s="13">
        <f t="shared" si="3"/>
        <v>-150000</v>
      </c>
      <c r="F210" s="14"/>
      <c r="G210" s="14"/>
      <c r="H210" s="14"/>
      <c r="I210" s="14"/>
      <c r="J210" s="13">
        <v>-150000.0</v>
      </c>
      <c r="K210" s="14"/>
      <c r="L210" s="14"/>
      <c r="M210" s="14"/>
      <c r="N210" s="13">
        <v>150000.0</v>
      </c>
      <c r="O210" s="14"/>
      <c r="P210" s="14"/>
      <c r="Q210" s="14"/>
      <c r="R210" s="14">
        <f t="shared" si="1"/>
        <v>150000</v>
      </c>
      <c r="S210" s="15">
        <f t="shared" si="2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22.5" customHeight="1">
      <c r="A211" s="9">
        <v>45846.0</v>
      </c>
      <c r="B211" s="11" t="s">
        <v>409</v>
      </c>
      <c r="C211" s="16" t="s">
        <v>9</v>
      </c>
      <c r="D211" s="13" t="s">
        <v>38</v>
      </c>
      <c r="E211" s="13">
        <f t="shared" si="3"/>
        <v>0</v>
      </c>
      <c r="F211" s="14"/>
      <c r="G211" s="14"/>
      <c r="H211" s="13">
        <v>-997000.0</v>
      </c>
      <c r="I211" s="14"/>
      <c r="J211" s="13">
        <v>997000.0</v>
      </c>
      <c r="K211" s="14"/>
      <c r="L211" s="14"/>
      <c r="M211" s="14"/>
      <c r="N211" s="14"/>
      <c r="O211" s="14"/>
      <c r="P211" s="14"/>
      <c r="Q211" s="14"/>
      <c r="R211" s="15">
        <f t="shared" si="1"/>
        <v>0</v>
      </c>
      <c r="S211" s="15">
        <f t="shared" si="2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22.5" customHeight="1">
      <c r="A212" s="9">
        <v>45847.0</v>
      </c>
      <c r="B212" s="11" t="s">
        <v>410</v>
      </c>
      <c r="C212" s="16" t="s">
        <v>411</v>
      </c>
      <c r="D212" s="13" t="s">
        <v>56</v>
      </c>
      <c r="E212" s="13">
        <f t="shared" si="3"/>
        <v>5000000</v>
      </c>
      <c r="F212" s="13">
        <v>5000000.0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5">
        <f t="shared" si="1"/>
        <v>0</v>
      </c>
      <c r="S212" s="14">
        <f t="shared" si="2"/>
        <v>-5000000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22.5" customHeight="1">
      <c r="A213" s="9">
        <v>45847.0</v>
      </c>
      <c r="B213" s="11" t="s">
        <v>412</v>
      </c>
      <c r="C213" s="16" t="s">
        <v>10</v>
      </c>
      <c r="D213" s="13" t="s">
        <v>56</v>
      </c>
      <c r="E213" s="13">
        <f t="shared" si="3"/>
        <v>-3000312</v>
      </c>
      <c r="F213" s="14"/>
      <c r="G213" s="14"/>
      <c r="H213" s="13">
        <v>-3000312.0</v>
      </c>
      <c r="I213" s="13">
        <v>312.0</v>
      </c>
      <c r="J213" s="14"/>
      <c r="K213" s="13">
        <v>3000000.0</v>
      </c>
      <c r="L213" s="14"/>
      <c r="M213" s="14"/>
      <c r="N213" s="14"/>
      <c r="O213" s="14"/>
      <c r="P213" s="14"/>
      <c r="Q213" s="14"/>
      <c r="R213" s="14">
        <f t="shared" si="1"/>
        <v>3000312</v>
      </c>
      <c r="S213" s="15">
        <f t="shared" si="2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22.5" customHeight="1">
      <c r="A214" s="9">
        <v>45848.0</v>
      </c>
      <c r="B214" s="11" t="s">
        <v>413</v>
      </c>
      <c r="C214" s="16" t="s">
        <v>414</v>
      </c>
      <c r="D214" s="13" t="s">
        <v>1</v>
      </c>
      <c r="E214" s="13">
        <f t="shared" si="3"/>
        <v>-2500304</v>
      </c>
      <c r="F214" s="14"/>
      <c r="G214" s="14"/>
      <c r="H214" s="13">
        <v>-2500304.0</v>
      </c>
      <c r="I214" s="13">
        <v>304.0</v>
      </c>
      <c r="J214" s="14"/>
      <c r="K214" s="14"/>
      <c r="L214" s="14"/>
      <c r="M214" s="13">
        <v>2500000.0</v>
      </c>
      <c r="N214" s="14"/>
      <c r="O214" s="14"/>
      <c r="P214" s="14"/>
      <c r="Q214" s="14"/>
      <c r="R214" s="14">
        <f t="shared" si="1"/>
        <v>2500304</v>
      </c>
      <c r="S214" s="15">
        <f t="shared" si="2"/>
        <v>0</v>
      </c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22.5" customHeight="1">
      <c r="A215" s="9">
        <v>45848.0</v>
      </c>
      <c r="B215" s="11" t="s">
        <v>415</v>
      </c>
      <c r="C215" s="16" t="s">
        <v>80</v>
      </c>
      <c r="D215" s="13" t="s">
        <v>38</v>
      </c>
      <c r="E215" s="13">
        <f t="shared" si="3"/>
        <v>0</v>
      </c>
      <c r="F215" s="13">
        <v>-2.0E7</v>
      </c>
      <c r="G215" s="14"/>
      <c r="H215" s="13">
        <v>2.0E7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5">
        <f t="shared" si="1"/>
        <v>0</v>
      </c>
      <c r="S215" s="15">
        <f t="shared" si="2"/>
        <v>0</v>
      </c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22.5" customHeight="1">
      <c r="A216" s="9">
        <v>45852.0</v>
      </c>
      <c r="B216" s="11" t="s">
        <v>416</v>
      </c>
      <c r="C216" s="16" t="s">
        <v>417</v>
      </c>
      <c r="D216" s="13" t="s">
        <v>28</v>
      </c>
      <c r="E216" s="13">
        <f t="shared" si="3"/>
        <v>-500000</v>
      </c>
      <c r="F216" s="14"/>
      <c r="G216" s="14"/>
      <c r="H216" s="13">
        <v>-500000.0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>
        <f t="shared" si="1"/>
        <v>500000</v>
      </c>
      <c r="S216" s="15">
        <f t="shared" si="2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22.5" customHeight="1">
      <c r="A217" s="9">
        <v>45852.0</v>
      </c>
      <c r="B217" s="11" t="s">
        <v>418</v>
      </c>
      <c r="C217" s="16" t="s">
        <v>318</v>
      </c>
      <c r="D217" s="13" t="s">
        <v>15</v>
      </c>
      <c r="E217" s="13">
        <f t="shared" si="3"/>
        <v>-500000</v>
      </c>
      <c r="F217" s="14"/>
      <c r="G217" s="14"/>
      <c r="H217" s="13">
        <v>-500000.0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>
        <f t="shared" si="1"/>
        <v>500000</v>
      </c>
      <c r="S217" s="15">
        <f t="shared" si="2"/>
        <v>0</v>
      </c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22.5" customHeight="1">
      <c r="A218" s="9">
        <v>45855.0</v>
      </c>
      <c r="B218" s="11" t="s">
        <v>419</v>
      </c>
      <c r="C218" s="19"/>
      <c r="D218" s="13" t="s">
        <v>24</v>
      </c>
      <c r="E218" s="13">
        <f t="shared" si="3"/>
        <v>-277500</v>
      </c>
      <c r="F218" s="14"/>
      <c r="G218" s="14"/>
      <c r="H218" s="14"/>
      <c r="I218" s="14"/>
      <c r="J218" s="13">
        <v>-277500.0</v>
      </c>
      <c r="K218" s="14"/>
      <c r="L218" s="14"/>
      <c r="M218" s="14"/>
      <c r="N218" s="14"/>
      <c r="O218" s="14"/>
      <c r="P218" s="14"/>
      <c r="Q218" s="14"/>
      <c r="R218" s="14">
        <f t="shared" si="1"/>
        <v>277500</v>
      </c>
      <c r="S218" s="15">
        <f t="shared" si="2"/>
        <v>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22.5" customHeight="1">
      <c r="A219" s="9">
        <v>45855.0</v>
      </c>
      <c r="B219" s="11" t="s">
        <v>420</v>
      </c>
      <c r="C219" s="16" t="s">
        <v>421</v>
      </c>
      <c r="D219" s="13" t="s">
        <v>13</v>
      </c>
      <c r="E219" s="13">
        <f t="shared" si="3"/>
        <v>-150000</v>
      </c>
      <c r="F219" s="14"/>
      <c r="G219" s="14"/>
      <c r="H219" s="14"/>
      <c r="I219" s="14"/>
      <c r="J219" s="13">
        <v>-150000.0</v>
      </c>
      <c r="K219" s="14"/>
      <c r="L219" s="14"/>
      <c r="M219" s="14"/>
      <c r="N219" s="14"/>
      <c r="O219" s="14"/>
      <c r="P219" s="14"/>
      <c r="Q219" s="14"/>
      <c r="R219" s="14">
        <f t="shared" si="1"/>
        <v>150000</v>
      </c>
      <c r="S219" s="15">
        <f t="shared" si="2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22.5" customHeight="1">
      <c r="A220" s="9">
        <v>45855.0</v>
      </c>
      <c r="B220" s="11" t="s">
        <v>422</v>
      </c>
      <c r="C220" s="16" t="s">
        <v>9</v>
      </c>
      <c r="D220" s="13" t="s">
        <v>38</v>
      </c>
      <c r="E220" s="13">
        <f t="shared" si="3"/>
        <v>0</v>
      </c>
      <c r="F220" s="14"/>
      <c r="G220" s="14"/>
      <c r="H220" s="13">
        <v>-650000.0</v>
      </c>
      <c r="I220" s="14"/>
      <c r="J220" s="13">
        <v>650000.0</v>
      </c>
      <c r="K220" s="14"/>
      <c r="L220" s="14"/>
      <c r="M220" s="14"/>
      <c r="N220" s="14"/>
      <c r="O220" s="14"/>
      <c r="P220" s="14"/>
      <c r="Q220" s="14"/>
      <c r="R220" s="15">
        <f t="shared" si="1"/>
        <v>0</v>
      </c>
      <c r="S220" s="15">
        <f t="shared" si="2"/>
        <v>0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22.5" customHeight="1">
      <c r="A221" s="9">
        <v>45855.0</v>
      </c>
      <c r="B221" s="11" t="s">
        <v>423</v>
      </c>
      <c r="C221" s="16" t="s">
        <v>9</v>
      </c>
      <c r="D221" s="13" t="s">
        <v>38</v>
      </c>
      <c r="E221" s="13">
        <f t="shared" si="3"/>
        <v>-650000</v>
      </c>
      <c r="F221" s="13"/>
      <c r="G221" s="14"/>
      <c r="H221" s="13">
        <v>-650000.0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>
        <f t="shared" si="1"/>
        <v>650000</v>
      </c>
      <c r="S221" s="15">
        <f t="shared" si="2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22.5" customHeight="1">
      <c r="A222" s="9">
        <v>45856.0</v>
      </c>
      <c r="B222" s="11" t="s">
        <v>424</v>
      </c>
      <c r="C222" s="16" t="s">
        <v>425</v>
      </c>
      <c r="D222" s="13" t="s">
        <v>1</v>
      </c>
      <c r="E222" s="13">
        <f t="shared" si="3"/>
        <v>-1000000</v>
      </c>
      <c r="F222" s="13"/>
      <c r="G222" s="14"/>
      <c r="H222" s="13">
        <v>-1000000.0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>
        <f t="shared" si="1"/>
        <v>1000000</v>
      </c>
      <c r="S222" s="15">
        <f t="shared" si="2"/>
        <v>0</v>
      </c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22.5" customHeight="1">
      <c r="A223" s="9">
        <v>45856.0</v>
      </c>
      <c r="B223" s="11" t="s">
        <v>150</v>
      </c>
      <c r="C223" s="16" t="s">
        <v>246</v>
      </c>
      <c r="D223" s="13" t="s">
        <v>57</v>
      </c>
      <c r="E223" s="13">
        <f t="shared" si="3"/>
        <v>1000000</v>
      </c>
      <c r="F223" s="13">
        <v>1000000.0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5">
        <f t="shared" si="1"/>
        <v>0</v>
      </c>
      <c r="S223" s="14">
        <f t="shared" si="2"/>
        <v>-1000000</v>
      </c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22.5" customHeight="1">
      <c r="A224" s="9">
        <v>45856.0</v>
      </c>
      <c r="B224" s="11" t="s">
        <v>150</v>
      </c>
      <c r="C224" s="16" t="s">
        <v>426</v>
      </c>
      <c r="D224" s="13" t="s">
        <v>57</v>
      </c>
      <c r="E224" s="13">
        <f t="shared" si="3"/>
        <v>1000000</v>
      </c>
      <c r="F224" s="13">
        <v>1000000.0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5">
        <f t="shared" si="1"/>
        <v>0</v>
      </c>
      <c r="S224" s="14">
        <f t="shared" si="2"/>
        <v>-1000000</v>
      </c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22.5" customHeight="1">
      <c r="A225" s="9">
        <v>45857.0</v>
      </c>
      <c r="B225" s="11" t="s">
        <v>427</v>
      </c>
      <c r="C225" s="16" t="s">
        <v>428</v>
      </c>
      <c r="D225" s="13" t="s">
        <v>24</v>
      </c>
      <c r="E225" s="13">
        <f t="shared" si="3"/>
        <v>-23000</v>
      </c>
      <c r="F225" s="14"/>
      <c r="G225" s="14"/>
      <c r="H225" s="14"/>
      <c r="I225" s="14"/>
      <c r="J225" s="13">
        <v>-23000.0</v>
      </c>
      <c r="K225" s="14"/>
      <c r="L225" s="14"/>
      <c r="M225" s="14"/>
      <c r="N225" s="14"/>
      <c r="O225" s="14"/>
      <c r="P225" s="14"/>
      <c r="Q225" s="14"/>
      <c r="R225" s="14">
        <f t="shared" si="1"/>
        <v>23000</v>
      </c>
      <c r="S225" s="15">
        <f t="shared" si="2"/>
        <v>0</v>
      </c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22.5" customHeight="1">
      <c r="A226" s="9">
        <v>45858.0</v>
      </c>
      <c r="B226" s="11" t="s">
        <v>13</v>
      </c>
      <c r="C226" s="16" t="s">
        <v>429</v>
      </c>
      <c r="D226" s="13" t="s">
        <v>13</v>
      </c>
      <c r="E226" s="13">
        <f t="shared" si="3"/>
        <v>-472300</v>
      </c>
      <c r="F226" s="14"/>
      <c r="G226" s="14"/>
      <c r="H226" s="13">
        <v>-472300.0</v>
      </c>
      <c r="I226" s="13">
        <v>300.0</v>
      </c>
      <c r="J226" s="14"/>
      <c r="K226" s="14"/>
      <c r="L226" s="14"/>
      <c r="M226" s="14"/>
      <c r="N226" s="14"/>
      <c r="O226" s="14"/>
      <c r="P226" s="14"/>
      <c r="Q226" s="14"/>
      <c r="R226" s="14">
        <f t="shared" si="1"/>
        <v>472300</v>
      </c>
      <c r="S226" s="15">
        <f t="shared" si="2"/>
        <v>0</v>
      </c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22.5" customHeight="1">
      <c r="A227" s="9">
        <v>45859.0</v>
      </c>
      <c r="B227" s="11" t="s">
        <v>430</v>
      </c>
      <c r="C227" s="16" t="s">
        <v>431</v>
      </c>
      <c r="D227" s="13" t="s">
        <v>57</v>
      </c>
      <c r="E227" s="13">
        <f t="shared" si="3"/>
        <v>3000000</v>
      </c>
      <c r="F227" s="13">
        <v>3000000.0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5">
        <f t="shared" si="1"/>
        <v>0</v>
      </c>
      <c r="S227" s="14">
        <f t="shared" si="2"/>
        <v>-3000000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22.5" customHeight="1">
      <c r="A228" s="9">
        <v>45859.0</v>
      </c>
      <c r="B228" s="11" t="s">
        <v>412</v>
      </c>
      <c r="C228" s="16" t="s">
        <v>10</v>
      </c>
      <c r="D228" s="13" t="s">
        <v>56</v>
      </c>
      <c r="E228" s="13">
        <f t="shared" si="3"/>
        <v>-3000313</v>
      </c>
      <c r="F228" s="14"/>
      <c r="G228" s="14"/>
      <c r="H228" s="13">
        <v>-3000313.0</v>
      </c>
      <c r="I228" s="13">
        <v>313.0</v>
      </c>
      <c r="J228" s="14"/>
      <c r="K228" s="13">
        <v>3000000.0</v>
      </c>
      <c r="L228" s="14"/>
      <c r="M228" s="14"/>
      <c r="N228" s="14"/>
      <c r="O228" s="14"/>
      <c r="P228" s="14"/>
      <c r="Q228" s="14"/>
      <c r="R228" s="14">
        <f t="shared" si="1"/>
        <v>3000313</v>
      </c>
      <c r="S228" s="15">
        <f t="shared" si="2"/>
        <v>0</v>
      </c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22.5" customHeight="1">
      <c r="A229" s="9">
        <v>45860.0</v>
      </c>
      <c r="B229" s="11" t="s">
        <v>432</v>
      </c>
      <c r="C229" s="16" t="s">
        <v>433</v>
      </c>
      <c r="D229" s="13" t="s">
        <v>13</v>
      </c>
      <c r="E229" s="13">
        <f t="shared" si="3"/>
        <v>-174000</v>
      </c>
      <c r="F229" s="14"/>
      <c r="G229" s="14"/>
      <c r="H229" s="14"/>
      <c r="I229" s="14"/>
      <c r="J229" s="14">
        <f>-(102+72)*1000</f>
        <v>-174000</v>
      </c>
      <c r="K229" s="14"/>
      <c r="L229" s="14"/>
      <c r="M229" s="14"/>
      <c r="N229" s="14"/>
      <c r="O229" s="14"/>
      <c r="P229" s="14"/>
      <c r="Q229" s="14"/>
      <c r="R229" s="14">
        <f t="shared" si="1"/>
        <v>174000</v>
      </c>
      <c r="S229" s="15">
        <f t="shared" si="2"/>
        <v>0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22.5" customHeight="1">
      <c r="A230" s="9">
        <v>45860.0</v>
      </c>
      <c r="B230" s="11" t="s">
        <v>434</v>
      </c>
      <c r="C230" s="16" t="s">
        <v>82</v>
      </c>
      <c r="D230" s="13" t="s">
        <v>27</v>
      </c>
      <c r="E230" s="13">
        <f t="shared" si="3"/>
        <v>200000</v>
      </c>
      <c r="F230" s="13">
        <v>200000.0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5">
        <f t="shared" si="1"/>
        <v>0</v>
      </c>
      <c r="S230" s="14">
        <f t="shared" si="2"/>
        <v>-200000</v>
      </c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22.5" customHeight="1">
      <c r="A231" s="9">
        <v>45860.0</v>
      </c>
      <c r="B231" s="11" t="s">
        <v>435</v>
      </c>
      <c r="C231" s="12"/>
      <c r="D231" s="13" t="s">
        <v>57</v>
      </c>
      <c r="E231" s="13">
        <f t="shared" si="3"/>
        <v>3000000</v>
      </c>
      <c r="F231" s="13">
        <v>3000000.0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5">
        <f t="shared" si="1"/>
        <v>0</v>
      </c>
      <c r="S231" s="14">
        <f t="shared" si="2"/>
        <v>-3000000</v>
      </c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22.5" customHeight="1">
      <c r="A232" s="9">
        <v>45863.0</v>
      </c>
      <c r="B232" s="11" t="s">
        <v>436</v>
      </c>
      <c r="C232" s="16" t="s">
        <v>428</v>
      </c>
      <c r="D232" s="13" t="s">
        <v>24</v>
      </c>
      <c r="E232" s="13">
        <f t="shared" si="3"/>
        <v>-203000</v>
      </c>
      <c r="F232" s="14"/>
      <c r="G232" s="14"/>
      <c r="H232" s="14"/>
      <c r="I232" s="14"/>
      <c r="J232" s="13">
        <v>-203000.0</v>
      </c>
      <c r="K232" s="14"/>
      <c r="L232" s="14"/>
      <c r="M232" s="14"/>
      <c r="N232" s="14"/>
      <c r="O232" s="14"/>
      <c r="P232" s="14"/>
      <c r="Q232" s="14"/>
      <c r="R232" s="14">
        <f t="shared" si="1"/>
        <v>203000</v>
      </c>
      <c r="S232" s="15">
        <f t="shared" si="2"/>
        <v>0</v>
      </c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22.5" customHeight="1">
      <c r="A233" s="9">
        <v>45863.0</v>
      </c>
      <c r="B233" s="11" t="s">
        <v>437</v>
      </c>
      <c r="C233" s="16" t="s">
        <v>438</v>
      </c>
      <c r="D233" s="13" t="s">
        <v>1</v>
      </c>
      <c r="E233" s="13">
        <f t="shared" si="3"/>
        <v>-800314</v>
      </c>
      <c r="F233" s="14"/>
      <c r="G233" s="14"/>
      <c r="H233" s="13">
        <v>-800314.0</v>
      </c>
      <c r="I233" s="13">
        <v>314.0</v>
      </c>
      <c r="J233" s="14"/>
      <c r="K233" s="14"/>
      <c r="L233" s="14"/>
      <c r="M233" s="14"/>
      <c r="N233" s="14"/>
      <c r="O233" s="14"/>
      <c r="P233" s="14"/>
      <c r="Q233" s="14"/>
      <c r="R233" s="14">
        <f t="shared" si="1"/>
        <v>800314</v>
      </c>
      <c r="S233" s="15">
        <f t="shared" si="2"/>
        <v>0</v>
      </c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22.5" customHeight="1">
      <c r="A234" s="9">
        <v>45863.0</v>
      </c>
      <c r="B234" s="11" t="s">
        <v>439</v>
      </c>
      <c r="C234" s="16" t="s">
        <v>440</v>
      </c>
      <c r="D234" s="13" t="s">
        <v>13</v>
      </c>
      <c r="E234" s="13">
        <f t="shared" si="3"/>
        <v>-117000</v>
      </c>
      <c r="F234" s="14"/>
      <c r="G234" s="14"/>
      <c r="H234" s="14"/>
      <c r="I234" s="14"/>
      <c r="J234" s="14">
        <f>-(72+45)*1000</f>
        <v>-117000</v>
      </c>
      <c r="K234" s="14"/>
      <c r="L234" s="14"/>
      <c r="M234" s="14"/>
      <c r="N234" s="14"/>
      <c r="O234" s="14"/>
      <c r="P234" s="14"/>
      <c r="Q234" s="14"/>
      <c r="R234" s="14">
        <f t="shared" si="1"/>
        <v>117000</v>
      </c>
      <c r="S234" s="15">
        <f t="shared" si="2"/>
        <v>0</v>
      </c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22.5" customHeight="1">
      <c r="A235" s="9">
        <v>45864.0</v>
      </c>
      <c r="B235" s="11" t="s">
        <v>441</v>
      </c>
      <c r="C235" s="16" t="s">
        <v>229</v>
      </c>
      <c r="D235" s="13" t="s">
        <v>58</v>
      </c>
      <c r="E235" s="13">
        <f t="shared" si="3"/>
        <v>10108538</v>
      </c>
      <c r="F235" s="13">
        <v>1.0108538E7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5">
        <f t="shared" si="1"/>
        <v>0</v>
      </c>
      <c r="S235" s="14">
        <f t="shared" si="2"/>
        <v>-10108538</v>
      </c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22.5" customHeight="1">
      <c r="A236" s="9">
        <v>45864.0</v>
      </c>
      <c r="B236" s="11" t="s">
        <v>442</v>
      </c>
      <c r="C236" s="16" t="s">
        <v>62</v>
      </c>
      <c r="D236" s="13" t="s">
        <v>58</v>
      </c>
      <c r="E236" s="13">
        <f t="shared" si="3"/>
        <v>-5060340</v>
      </c>
      <c r="F236" s="14"/>
      <c r="G236" s="14"/>
      <c r="H236" s="13">
        <v>-5060340.0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>
        <f t="shared" si="1"/>
        <v>5060340</v>
      </c>
      <c r="S236" s="15">
        <f t="shared" si="2"/>
        <v>0</v>
      </c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22.5" customHeight="1">
      <c r="A237" s="9">
        <v>45864.0</v>
      </c>
      <c r="B237" s="11" t="s">
        <v>443</v>
      </c>
      <c r="C237" s="16" t="s">
        <v>444</v>
      </c>
      <c r="D237" s="13" t="s">
        <v>13</v>
      </c>
      <c r="E237" s="13">
        <f t="shared" si="3"/>
        <v>-285000</v>
      </c>
      <c r="F237" s="14"/>
      <c r="G237" s="14"/>
      <c r="H237" s="14"/>
      <c r="I237" s="14"/>
      <c r="J237" s="14">
        <f>-(80+97+24+84)*1000</f>
        <v>-285000</v>
      </c>
      <c r="K237" s="14"/>
      <c r="L237" s="14"/>
      <c r="M237" s="14"/>
      <c r="N237" s="14"/>
      <c r="O237" s="14"/>
      <c r="P237" s="14"/>
      <c r="Q237" s="14"/>
      <c r="R237" s="14">
        <f t="shared" si="1"/>
        <v>285000</v>
      </c>
      <c r="S237" s="15">
        <f t="shared" si="2"/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22.5" customHeight="1">
      <c r="A238" s="9">
        <v>45864.0</v>
      </c>
      <c r="B238" s="11" t="s">
        <v>445</v>
      </c>
      <c r="C238" s="16" t="s">
        <v>433</v>
      </c>
      <c r="D238" s="13" t="s">
        <v>13</v>
      </c>
      <c r="E238" s="13">
        <f t="shared" si="3"/>
        <v>-169000</v>
      </c>
      <c r="F238" s="14"/>
      <c r="G238" s="14"/>
      <c r="H238" s="14"/>
      <c r="I238" s="14"/>
      <c r="J238" s="14">
        <f>-(40+105+24)*1000</f>
        <v>-169000</v>
      </c>
      <c r="K238" s="14"/>
      <c r="L238" s="14"/>
      <c r="M238" s="14"/>
      <c r="N238" s="14"/>
      <c r="O238" s="14"/>
      <c r="P238" s="14"/>
      <c r="Q238" s="14"/>
      <c r="R238" s="14">
        <f t="shared" si="1"/>
        <v>169000</v>
      </c>
      <c r="S238" s="15">
        <f t="shared" si="2"/>
        <v>0</v>
      </c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22.5" customHeight="1">
      <c r="A239" s="9">
        <v>45865.0</v>
      </c>
      <c r="B239" s="11" t="s">
        <v>446</v>
      </c>
      <c r="C239" s="16" t="s">
        <v>428</v>
      </c>
      <c r="D239" s="13" t="s">
        <v>13</v>
      </c>
      <c r="E239" s="13">
        <f t="shared" si="3"/>
        <v>-200000</v>
      </c>
      <c r="F239" s="14"/>
      <c r="G239" s="14"/>
      <c r="H239" s="14"/>
      <c r="I239" s="14"/>
      <c r="J239" s="13">
        <v>-200000.0</v>
      </c>
      <c r="K239" s="14"/>
      <c r="L239" s="14"/>
      <c r="M239" s="14"/>
      <c r="N239" s="14"/>
      <c r="O239" s="14"/>
      <c r="P239" s="14"/>
      <c r="Q239" s="14"/>
      <c r="R239" s="14">
        <f t="shared" si="1"/>
        <v>200000</v>
      </c>
      <c r="S239" s="15">
        <f t="shared" si="2"/>
        <v>0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22.5" customHeight="1">
      <c r="A240" s="9">
        <v>45865.0</v>
      </c>
      <c r="B240" s="11" t="s">
        <v>447</v>
      </c>
      <c r="C240" s="16" t="s">
        <v>428</v>
      </c>
      <c r="D240" s="13" t="s">
        <v>13</v>
      </c>
      <c r="E240" s="13">
        <f t="shared" si="3"/>
        <v>-234000</v>
      </c>
      <c r="F240" s="14"/>
      <c r="G240" s="14"/>
      <c r="H240" s="14"/>
      <c r="I240" s="14"/>
      <c r="J240" s="13">
        <v>-234000.0</v>
      </c>
      <c r="K240" s="14"/>
      <c r="L240" s="14"/>
      <c r="M240" s="14"/>
      <c r="N240" s="14"/>
      <c r="O240" s="14"/>
      <c r="P240" s="14"/>
      <c r="Q240" s="14"/>
      <c r="R240" s="14">
        <f t="shared" si="1"/>
        <v>234000</v>
      </c>
      <c r="S240" s="15">
        <f t="shared" si="2"/>
        <v>0</v>
      </c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22.5" customHeight="1">
      <c r="A241" s="9">
        <v>45865.0</v>
      </c>
      <c r="B241" s="11" t="s">
        <v>448</v>
      </c>
      <c r="C241" s="16" t="s">
        <v>9</v>
      </c>
      <c r="D241" s="13" t="s">
        <v>38</v>
      </c>
      <c r="E241" s="13">
        <f t="shared" si="3"/>
        <v>0</v>
      </c>
      <c r="F241" s="14"/>
      <c r="G241" s="14"/>
      <c r="H241" s="13">
        <v>-1408000.0</v>
      </c>
      <c r="I241" s="14"/>
      <c r="J241" s="13">
        <v>1408000.0</v>
      </c>
      <c r="K241" s="14"/>
      <c r="L241" s="14"/>
      <c r="M241" s="14"/>
      <c r="N241" s="14"/>
      <c r="O241" s="14"/>
      <c r="P241" s="14"/>
      <c r="Q241" s="14"/>
      <c r="R241" s="15">
        <f t="shared" si="1"/>
        <v>0</v>
      </c>
      <c r="S241" s="15">
        <f t="shared" si="2"/>
        <v>0</v>
      </c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22.5" customHeight="1">
      <c r="A242" s="9">
        <v>45866.0</v>
      </c>
      <c r="B242" s="11" t="s">
        <v>449</v>
      </c>
      <c r="C242" s="16" t="s">
        <v>450</v>
      </c>
      <c r="D242" s="13" t="s">
        <v>1</v>
      </c>
      <c r="E242" s="13">
        <f t="shared" si="3"/>
        <v>-2500000</v>
      </c>
      <c r="F242" s="14"/>
      <c r="G242" s="14"/>
      <c r="H242" s="13">
        <v>-2500000.0</v>
      </c>
      <c r="I242" s="14"/>
      <c r="J242" s="14"/>
      <c r="K242" s="14"/>
      <c r="L242" s="14"/>
      <c r="M242" s="13">
        <v>2500000.0</v>
      </c>
      <c r="N242" s="14"/>
      <c r="O242" s="14"/>
      <c r="P242" s="14"/>
      <c r="Q242" s="14"/>
      <c r="R242" s="14">
        <f t="shared" si="1"/>
        <v>2500000</v>
      </c>
      <c r="S242" s="15">
        <f t="shared" si="2"/>
        <v>0</v>
      </c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22.5" customHeight="1">
      <c r="A243" s="9">
        <v>45866.0</v>
      </c>
      <c r="B243" s="11" t="s">
        <v>451</v>
      </c>
      <c r="C243" s="16" t="s">
        <v>74</v>
      </c>
      <c r="D243" s="21" t="s">
        <v>1</v>
      </c>
      <c r="E243" s="13">
        <f t="shared" si="3"/>
        <v>-1500000</v>
      </c>
      <c r="F243" s="14"/>
      <c r="G243" s="14"/>
      <c r="H243" s="13">
        <v>-1500000.0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>
        <f t="shared" si="1"/>
        <v>1500000</v>
      </c>
      <c r="S243" s="15">
        <f t="shared" si="2"/>
        <v>0</v>
      </c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22.5" customHeight="1">
      <c r="A244" s="9">
        <v>45866.0</v>
      </c>
      <c r="B244" s="11" t="s">
        <v>452</v>
      </c>
      <c r="C244" s="16" t="s">
        <v>80</v>
      </c>
      <c r="D244" s="13" t="s">
        <v>38</v>
      </c>
      <c r="E244" s="13">
        <f t="shared" si="3"/>
        <v>0</v>
      </c>
      <c r="F244" s="13">
        <v>-2.0E7</v>
      </c>
      <c r="G244" s="14"/>
      <c r="H244" s="13">
        <v>2.0E7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5">
        <f t="shared" si="1"/>
        <v>0</v>
      </c>
      <c r="S244" s="15">
        <f t="shared" si="2"/>
        <v>0</v>
      </c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22.5" customHeight="1">
      <c r="A245" s="9">
        <v>45866.0</v>
      </c>
      <c r="B245" s="11" t="s">
        <v>453</v>
      </c>
      <c r="C245" s="16" t="s">
        <v>454</v>
      </c>
      <c r="D245" s="13" t="s">
        <v>15</v>
      </c>
      <c r="E245" s="13">
        <f t="shared" si="3"/>
        <v>-1500000</v>
      </c>
      <c r="F245" s="14"/>
      <c r="G245" s="14"/>
      <c r="H245" s="13">
        <v>-1500000.0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>
        <f t="shared" si="1"/>
        <v>1500000</v>
      </c>
      <c r="S245" s="15">
        <f t="shared" si="2"/>
        <v>0</v>
      </c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22.5" customHeight="1">
      <c r="A246" s="9">
        <v>45867.0</v>
      </c>
      <c r="B246" s="11" t="s">
        <v>455</v>
      </c>
      <c r="C246" s="16" t="s">
        <v>456</v>
      </c>
      <c r="D246" s="13" t="s">
        <v>24</v>
      </c>
      <c r="E246" s="13">
        <f t="shared" si="3"/>
        <v>-403000</v>
      </c>
      <c r="F246" s="14"/>
      <c r="G246" s="14"/>
      <c r="H246" s="14"/>
      <c r="I246" s="14"/>
      <c r="J246" s="14">
        <f>-(203+200)*1000</f>
        <v>-403000</v>
      </c>
      <c r="K246" s="14"/>
      <c r="L246" s="14"/>
      <c r="M246" s="14"/>
      <c r="N246" s="14"/>
      <c r="O246" s="14"/>
      <c r="P246" s="14"/>
      <c r="Q246" s="14"/>
      <c r="R246" s="14">
        <f t="shared" si="1"/>
        <v>403000</v>
      </c>
      <c r="S246" s="15">
        <f t="shared" si="2"/>
        <v>0</v>
      </c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22.5" customHeight="1">
      <c r="A247" s="9">
        <v>45867.0</v>
      </c>
      <c r="B247" s="11" t="s">
        <v>457</v>
      </c>
      <c r="C247" s="16" t="s">
        <v>399</v>
      </c>
      <c r="D247" s="13" t="s">
        <v>1</v>
      </c>
      <c r="E247" s="13">
        <f t="shared" si="3"/>
        <v>-300344</v>
      </c>
      <c r="F247" s="13"/>
      <c r="G247" s="14"/>
      <c r="H247" s="13">
        <v>-300344.0</v>
      </c>
      <c r="I247" s="13">
        <v>344.0</v>
      </c>
      <c r="J247" s="14"/>
      <c r="K247" s="14"/>
      <c r="L247" s="14"/>
      <c r="M247" s="13">
        <v>300000.0</v>
      </c>
      <c r="N247" s="14"/>
      <c r="O247" s="14"/>
      <c r="P247" s="14"/>
      <c r="Q247" s="14"/>
      <c r="R247" s="14">
        <f t="shared" si="1"/>
        <v>300344</v>
      </c>
      <c r="S247" s="15">
        <f t="shared" si="2"/>
        <v>0</v>
      </c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22.5" customHeight="1">
      <c r="A248" s="9">
        <v>45867.0</v>
      </c>
      <c r="B248" s="11" t="s">
        <v>458</v>
      </c>
      <c r="C248" s="16" t="s">
        <v>399</v>
      </c>
      <c r="D248" s="13" t="s">
        <v>1</v>
      </c>
      <c r="E248" s="13">
        <f t="shared" si="3"/>
        <v>-200320</v>
      </c>
      <c r="F248" s="13"/>
      <c r="G248" s="14"/>
      <c r="H248" s="13">
        <v>-200320.0</v>
      </c>
      <c r="I248" s="13">
        <v>320.0</v>
      </c>
      <c r="J248" s="14"/>
      <c r="K248" s="14"/>
      <c r="L248" s="14"/>
      <c r="M248" s="13">
        <v>200000.0</v>
      </c>
      <c r="N248" s="14"/>
      <c r="O248" s="14"/>
      <c r="P248" s="14"/>
      <c r="Q248" s="14"/>
      <c r="R248" s="14">
        <f t="shared" si="1"/>
        <v>200320</v>
      </c>
      <c r="S248" s="15">
        <f t="shared" si="2"/>
        <v>0</v>
      </c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22.5" customHeight="1">
      <c r="A249" s="9">
        <v>45867.0</v>
      </c>
      <c r="B249" s="11" t="s">
        <v>459</v>
      </c>
      <c r="C249" s="16" t="s">
        <v>456</v>
      </c>
      <c r="D249" s="13" t="s">
        <v>13</v>
      </c>
      <c r="E249" s="13">
        <f t="shared" si="3"/>
        <v>-234000</v>
      </c>
      <c r="F249" s="14"/>
      <c r="G249" s="14"/>
      <c r="H249" s="14"/>
      <c r="I249" s="14"/>
      <c r="J249" s="13">
        <v>-234000.0</v>
      </c>
      <c r="K249" s="14"/>
      <c r="L249" s="14"/>
      <c r="M249" s="14"/>
      <c r="N249" s="14"/>
      <c r="O249" s="14"/>
      <c r="P249" s="14"/>
      <c r="Q249" s="14"/>
      <c r="R249" s="14">
        <f t="shared" si="1"/>
        <v>234000</v>
      </c>
      <c r="S249" s="15">
        <f t="shared" si="2"/>
        <v>0</v>
      </c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22.5" customHeight="1">
      <c r="A250" s="9">
        <v>45867.0</v>
      </c>
      <c r="B250" s="11" t="s">
        <v>460</v>
      </c>
      <c r="C250" s="19"/>
      <c r="D250" s="13" t="s">
        <v>38</v>
      </c>
      <c r="E250" s="13">
        <f t="shared" si="3"/>
        <v>-100000</v>
      </c>
      <c r="F250" s="13"/>
      <c r="G250" s="14"/>
      <c r="H250" s="13">
        <v>-100000.0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>
        <f t="shared" si="1"/>
        <v>100000</v>
      </c>
      <c r="S250" s="15">
        <f t="shared" si="2"/>
        <v>0</v>
      </c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22.5" customHeight="1">
      <c r="A251" s="9">
        <v>45867.0</v>
      </c>
      <c r="B251" s="11" t="s">
        <v>461</v>
      </c>
      <c r="C251" s="16" t="s">
        <v>74</v>
      </c>
      <c r="D251" s="13" t="s">
        <v>38</v>
      </c>
      <c r="E251" s="13">
        <f t="shared" si="3"/>
        <v>750000</v>
      </c>
      <c r="F251" s="14"/>
      <c r="G251" s="14"/>
      <c r="H251" s="13">
        <v>750000.0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5">
        <f t="shared" si="1"/>
        <v>0</v>
      </c>
      <c r="S251" s="14">
        <f t="shared" si="2"/>
        <v>-750000</v>
      </c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22.5" customHeight="1">
      <c r="A252" s="9">
        <v>45869.0</v>
      </c>
      <c r="B252" s="11" t="s">
        <v>462</v>
      </c>
      <c r="C252" s="16" t="s">
        <v>456</v>
      </c>
      <c r="D252" s="13" t="s">
        <v>24</v>
      </c>
      <c r="E252" s="13">
        <f t="shared" si="3"/>
        <v>-228000</v>
      </c>
      <c r="F252" s="14"/>
      <c r="G252" s="14"/>
      <c r="H252" s="14"/>
      <c r="I252" s="14"/>
      <c r="J252" s="14">
        <f>-(78+150)*1000</f>
        <v>-228000</v>
      </c>
      <c r="K252" s="14"/>
      <c r="L252" s="14"/>
      <c r="M252" s="14"/>
      <c r="N252" s="14"/>
      <c r="O252" s="14"/>
      <c r="P252" s="14"/>
      <c r="Q252" s="14"/>
      <c r="R252" s="14">
        <f t="shared" si="1"/>
        <v>228000</v>
      </c>
      <c r="S252" s="15">
        <f t="shared" si="2"/>
        <v>0</v>
      </c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22.5" customHeight="1">
      <c r="A253" s="9">
        <v>45870.0</v>
      </c>
      <c r="B253" s="11" t="s">
        <v>463</v>
      </c>
      <c r="C253" s="16" t="s">
        <v>456</v>
      </c>
      <c r="D253" s="13" t="s">
        <v>24</v>
      </c>
      <c r="E253" s="13">
        <f t="shared" si="3"/>
        <v>-200000</v>
      </c>
      <c r="F253" s="14"/>
      <c r="G253" s="14"/>
      <c r="H253" s="14"/>
      <c r="I253" s="14"/>
      <c r="J253" s="13">
        <v>-200000.0</v>
      </c>
      <c r="K253" s="14"/>
      <c r="L253" s="14"/>
      <c r="M253" s="14"/>
      <c r="N253" s="14"/>
      <c r="O253" s="14"/>
      <c r="P253" s="14"/>
      <c r="Q253" s="14"/>
      <c r="R253" s="14">
        <f t="shared" si="1"/>
        <v>200000</v>
      </c>
      <c r="S253" s="15">
        <f t="shared" si="2"/>
        <v>0</v>
      </c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22.5" customHeight="1">
      <c r="A254" s="9">
        <v>45870.0</v>
      </c>
      <c r="B254" s="11" t="s">
        <v>464</v>
      </c>
      <c r="C254" s="16" t="s">
        <v>456</v>
      </c>
      <c r="D254" s="13" t="s">
        <v>24</v>
      </c>
      <c r="E254" s="13">
        <f t="shared" si="3"/>
        <v>-333000</v>
      </c>
      <c r="F254" s="14"/>
      <c r="G254" s="14"/>
      <c r="H254" s="14"/>
      <c r="I254" s="14"/>
      <c r="J254" s="13">
        <v>-333000.0</v>
      </c>
      <c r="K254" s="14"/>
      <c r="L254" s="14"/>
      <c r="M254" s="14"/>
      <c r="N254" s="14"/>
      <c r="O254" s="14"/>
      <c r="P254" s="14"/>
      <c r="Q254" s="14"/>
      <c r="R254" s="14">
        <f t="shared" si="1"/>
        <v>333000</v>
      </c>
      <c r="S254" s="15">
        <f t="shared" si="2"/>
        <v>0</v>
      </c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22.5" customHeight="1">
      <c r="A255" s="9">
        <v>45871.0</v>
      </c>
      <c r="B255" s="11" t="s">
        <v>465</v>
      </c>
      <c r="C255" s="16" t="s">
        <v>399</v>
      </c>
      <c r="D255" s="13" t="s">
        <v>1</v>
      </c>
      <c r="E255" s="13">
        <f t="shared" si="3"/>
        <v>-250000</v>
      </c>
      <c r="F255" s="13"/>
      <c r="G255" s="14"/>
      <c r="H255" s="13">
        <v>-250000.0</v>
      </c>
      <c r="I255" s="14"/>
      <c r="J255" s="13"/>
      <c r="K255" s="14"/>
      <c r="L255" s="14"/>
      <c r="M255" s="13">
        <v>250000.0</v>
      </c>
      <c r="N255" s="14"/>
      <c r="O255" s="14"/>
      <c r="P255" s="14"/>
      <c r="Q255" s="14"/>
      <c r="R255" s="14">
        <f t="shared" si="1"/>
        <v>250000</v>
      </c>
      <c r="S255" s="15">
        <f t="shared" si="2"/>
        <v>0</v>
      </c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22.5" customHeight="1">
      <c r="A256" s="9">
        <v>45872.0</v>
      </c>
      <c r="B256" s="11" t="s">
        <v>466</v>
      </c>
      <c r="C256" s="16" t="s">
        <v>456</v>
      </c>
      <c r="D256" s="13" t="s">
        <v>24</v>
      </c>
      <c r="E256" s="13">
        <f t="shared" si="3"/>
        <v>-465000</v>
      </c>
      <c r="F256" s="14"/>
      <c r="G256" s="14"/>
      <c r="H256" s="14"/>
      <c r="I256" s="14"/>
      <c r="J256" s="14">
        <f>-(315+150)*1000</f>
        <v>-465000</v>
      </c>
      <c r="K256" s="14"/>
      <c r="L256" s="14"/>
      <c r="M256" s="14"/>
      <c r="N256" s="14"/>
      <c r="O256" s="14"/>
      <c r="P256" s="14"/>
      <c r="Q256" s="14"/>
      <c r="R256" s="14">
        <f t="shared" si="1"/>
        <v>465000</v>
      </c>
      <c r="S256" s="15">
        <f t="shared" si="2"/>
        <v>0</v>
      </c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22.5" customHeight="1">
      <c r="A257" s="9">
        <v>45873.0</v>
      </c>
      <c r="B257" s="11" t="s">
        <v>467</v>
      </c>
      <c r="C257" s="16" t="s">
        <v>9</v>
      </c>
      <c r="D257" s="13" t="s">
        <v>25</v>
      </c>
      <c r="E257" s="13">
        <f t="shared" si="3"/>
        <v>-1500000</v>
      </c>
      <c r="F257" s="14"/>
      <c r="G257" s="14"/>
      <c r="H257" s="13">
        <v>-1500000.0</v>
      </c>
      <c r="I257" s="14"/>
      <c r="J257" s="13"/>
      <c r="K257" s="14"/>
      <c r="L257" s="14"/>
      <c r="M257" s="14"/>
      <c r="N257" s="14"/>
      <c r="O257" s="14"/>
      <c r="P257" s="14"/>
      <c r="Q257" s="14"/>
      <c r="R257" s="14">
        <f t="shared" si="1"/>
        <v>1500000</v>
      </c>
      <c r="S257" s="15">
        <f t="shared" si="2"/>
        <v>0</v>
      </c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22.5" customHeight="1">
      <c r="A258" s="9">
        <v>45873.0</v>
      </c>
      <c r="B258" s="11" t="s">
        <v>468</v>
      </c>
      <c r="C258" s="16" t="s">
        <v>9</v>
      </c>
      <c r="D258" s="13" t="s">
        <v>38</v>
      </c>
      <c r="E258" s="13">
        <f t="shared" si="3"/>
        <v>0</v>
      </c>
      <c r="F258" s="14"/>
      <c r="G258" s="14"/>
      <c r="H258" s="13">
        <v>-1863000.0</v>
      </c>
      <c r="I258" s="14"/>
      <c r="J258" s="13">
        <v>1863000.0</v>
      </c>
      <c r="K258" s="14"/>
      <c r="L258" s="14"/>
      <c r="M258" s="14"/>
      <c r="N258" s="14"/>
      <c r="O258" s="14"/>
      <c r="P258" s="14"/>
      <c r="Q258" s="14"/>
      <c r="R258" s="15">
        <f t="shared" si="1"/>
        <v>0</v>
      </c>
      <c r="S258" s="15">
        <f t="shared" si="2"/>
        <v>0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22.5" customHeight="1">
      <c r="A259" s="9">
        <v>45873.0</v>
      </c>
      <c r="B259" s="11" t="s">
        <v>469</v>
      </c>
      <c r="C259" s="16" t="s">
        <v>411</v>
      </c>
      <c r="D259" s="13" t="s">
        <v>56</v>
      </c>
      <c r="E259" s="13">
        <f t="shared" si="3"/>
        <v>5000000</v>
      </c>
      <c r="F259" s="13">
        <v>5000000.0</v>
      </c>
      <c r="G259" s="14"/>
      <c r="H259" s="14"/>
      <c r="I259" s="14"/>
      <c r="J259" s="13"/>
      <c r="K259" s="14"/>
      <c r="L259" s="14"/>
      <c r="M259" s="14"/>
      <c r="N259" s="14"/>
      <c r="O259" s="14"/>
      <c r="P259" s="14"/>
      <c r="Q259" s="14"/>
      <c r="R259" s="15">
        <f t="shared" si="1"/>
        <v>0</v>
      </c>
      <c r="S259" s="14">
        <f t="shared" si="2"/>
        <v>-5000000</v>
      </c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22.5" customHeight="1">
      <c r="A260" s="9">
        <v>45873.0</v>
      </c>
      <c r="B260" s="11" t="s">
        <v>470</v>
      </c>
      <c r="C260" s="16" t="s">
        <v>10</v>
      </c>
      <c r="D260" s="13" t="s">
        <v>56</v>
      </c>
      <c r="E260" s="13">
        <f t="shared" si="3"/>
        <v>-3000318</v>
      </c>
      <c r="F260" s="14"/>
      <c r="G260" s="14"/>
      <c r="H260" s="13">
        <v>-3000318.0</v>
      </c>
      <c r="I260" s="13">
        <v>318.0</v>
      </c>
      <c r="J260" s="14"/>
      <c r="K260" s="13">
        <v>3000000.0</v>
      </c>
      <c r="L260" s="14"/>
      <c r="M260" s="14"/>
      <c r="N260" s="14"/>
      <c r="O260" s="14"/>
      <c r="P260" s="14"/>
      <c r="Q260" s="14"/>
      <c r="R260" s="14">
        <f t="shared" si="1"/>
        <v>3000318</v>
      </c>
      <c r="S260" s="15">
        <f t="shared" si="2"/>
        <v>0</v>
      </c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22.5" customHeight="1">
      <c r="A261" s="9">
        <v>45876.0</v>
      </c>
      <c r="B261" s="11" t="s">
        <v>471</v>
      </c>
      <c r="C261" s="16" t="s">
        <v>377</v>
      </c>
      <c r="D261" s="13" t="s">
        <v>13</v>
      </c>
      <c r="E261" s="13">
        <f t="shared" si="3"/>
        <v>-373000</v>
      </c>
      <c r="F261" s="14"/>
      <c r="G261" s="14"/>
      <c r="H261" s="13">
        <v>-373000.0</v>
      </c>
      <c r="I261" s="14"/>
      <c r="J261" s="14"/>
      <c r="K261" s="14"/>
      <c r="L261" s="14"/>
      <c r="M261" s="14"/>
      <c r="N261" s="14"/>
      <c r="O261" s="14"/>
      <c r="P261" s="14"/>
      <c r="Q261" s="14"/>
      <c r="R261" s="14">
        <f t="shared" si="1"/>
        <v>373000</v>
      </c>
      <c r="S261" s="15">
        <f t="shared" si="2"/>
        <v>0</v>
      </c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22.5" customHeight="1">
      <c r="A262" s="9">
        <v>45877.0</v>
      </c>
      <c r="B262" s="11" t="s">
        <v>472</v>
      </c>
      <c r="C262" s="16" t="s">
        <v>426</v>
      </c>
      <c r="D262" s="13" t="s">
        <v>57</v>
      </c>
      <c r="E262" s="13">
        <f t="shared" si="3"/>
        <v>1000000</v>
      </c>
      <c r="F262" s="13">
        <v>1000000.0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5">
        <f t="shared" si="1"/>
        <v>0</v>
      </c>
      <c r="S262" s="14">
        <f t="shared" si="2"/>
        <v>-1000000</v>
      </c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22.5" customHeight="1">
      <c r="A263" s="9">
        <v>45877.0</v>
      </c>
      <c r="B263" s="11" t="s">
        <v>472</v>
      </c>
      <c r="C263" s="16" t="s">
        <v>246</v>
      </c>
      <c r="D263" s="13" t="s">
        <v>57</v>
      </c>
      <c r="E263" s="13">
        <f t="shared" si="3"/>
        <v>1000000</v>
      </c>
      <c r="F263" s="13">
        <v>1000000.0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5">
        <f t="shared" si="1"/>
        <v>0</v>
      </c>
      <c r="S263" s="14">
        <f t="shared" si="2"/>
        <v>-1000000</v>
      </c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22.5" customHeight="1">
      <c r="A264" s="9">
        <v>45877.0</v>
      </c>
      <c r="B264" s="11" t="s">
        <v>473</v>
      </c>
      <c r="C264" s="16" t="s">
        <v>411</v>
      </c>
      <c r="D264" s="13" t="s">
        <v>56</v>
      </c>
      <c r="E264" s="13">
        <f t="shared" si="3"/>
        <v>5000000</v>
      </c>
      <c r="F264" s="13">
        <v>5000000.0</v>
      </c>
      <c r="G264" s="14"/>
      <c r="H264" s="13"/>
      <c r="I264" s="13"/>
      <c r="J264" s="14"/>
      <c r="K264" s="14"/>
      <c r="L264" s="14"/>
      <c r="M264" s="14"/>
      <c r="N264" s="14"/>
      <c r="O264" s="14"/>
      <c r="P264" s="13"/>
      <c r="Q264" s="14"/>
      <c r="R264" s="15">
        <f t="shared" si="1"/>
        <v>0</v>
      </c>
      <c r="S264" s="14">
        <f t="shared" si="2"/>
        <v>-5000000</v>
      </c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22.5" customHeight="1">
      <c r="A265" s="9">
        <v>45877.0</v>
      </c>
      <c r="B265" s="11" t="s">
        <v>474</v>
      </c>
      <c r="C265" s="16" t="s">
        <v>10</v>
      </c>
      <c r="D265" s="13" t="s">
        <v>56</v>
      </c>
      <c r="E265" s="13">
        <f t="shared" si="3"/>
        <v>-3000322</v>
      </c>
      <c r="F265" s="14"/>
      <c r="G265" s="14"/>
      <c r="H265" s="13">
        <v>-3000322.0</v>
      </c>
      <c r="I265" s="13">
        <v>322.0</v>
      </c>
      <c r="J265" s="14"/>
      <c r="K265" s="13">
        <v>3000000.0</v>
      </c>
      <c r="L265" s="14"/>
      <c r="M265" s="14"/>
      <c r="N265" s="14"/>
      <c r="O265" s="14"/>
      <c r="P265" s="13"/>
      <c r="Q265" s="14"/>
      <c r="R265" s="14">
        <f t="shared" si="1"/>
        <v>3000322</v>
      </c>
      <c r="S265" s="15">
        <f t="shared" si="2"/>
        <v>0</v>
      </c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22.5" customHeight="1">
      <c r="A266" s="9">
        <v>45878.0</v>
      </c>
      <c r="B266" s="11" t="s">
        <v>475</v>
      </c>
      <c r="C266" s="16" t="s">
        <v>237</v>
      </c>
      <c r="D266" s="13" t="s">
        <v>15</v>
      </c>
      <c r="E266" s="13">
        <f t="shared" si="3"/>
        <v>-500319</v>
      </c>
      <c r="F266" s="14"/>
      <c r="G266" s="14"/>
      <c r="H266" s="13">
        <v>-500319.0</v>
      </c>
      <c r="I266" s="13">
        <v>319.0</v>
      </c>
      <c r="J266" s="14"/>
      <c r="K266" s="14"/>
      <c r="L266" s="14"/>
      <c r="M266" s="14"/>
      <c r="N266" s="14"/>
      <c r="O266" s="14"/>
      <c r="P266" s="13">
        <v>500000.0</v>
      </c>
      <c r="Q266" s="14"/>
      <c r="R266" s="14">
        <f t="shared" si="1"/>
        <v>500319</v>
      </c>
      <c r="S266" s="15">
        <f t="shared" si="2"/>
        <v>0</v>
      </c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22.5" customHeight="1">
      <c r="A267" s="9">
        <v>45879.0</v>
      </c>
      <c r="B267" s="11" t="s">
        <v>476</v>
      </c>
      <c r="C267" s="16" t="s">
        <v>72</v>
      </c>
      <c r="D267" s="13" t="s">
        <v>27</v>
      </c>
      <c r="E267" s="13">
        <f t="shared" si="3"/>
        <v>-600000</v>
      </c>
      <c r="F267" s="14"/>
      <c r="G267" s="14"/>
      <c r="H267" s="13">
        <v>-600000.0</v>
      </c>
      <c r="I267" s="13"/>
      <c r="J267" s="14"/>
      <c r="K267" s="14"/>
      <c r="L267" s="14"/>
      <c r="M267" s="14"/>
      <c r="N267" s="14"/>
      <c r="O267" s="14"/>
      <c r="P267" s="13"/>
      <c r="Q267" s="14"/>
      <c r="R267" s="14">
        <f t="shared" si="1"/>
        <v>600000</v>
      </c>
      <c r="S267" s="15">
        <f t="shared" si="2"/>
        <v>0</v>
      </c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22.5" customHeight="1">
      <c r="A268" s="9">
        <v>45879.0</v>
      </c>
      <c r="B268" s="11" t="s">
        <v>477</v>
      </c>
      <c r="C268" s="16" t="s">
        <v>478</v>
      </c>
      <c r="D268" s="13" t="s">
        <v>48</v>
      </c>
      <c r="E268" s="13">
        <f t="shared" si="3"/>
        <v>-3000000</v>
      </c>
      <c r="F268" s="14"/>
      <c r="G268" s="14"/>
      <c r="H268" s="13">
        <v>-3000000.0</v>
      </c>
      <c r="I268" s="13"/>
      <c r="J268" s="14"/>
      <c r="K268" s="14"/>
      <c r="L268" s="14"/>
      <c r="M268" s="14"/>
      <c r="N268" s="14"/>
      <c r="O268" s="14"/>
      <c r="P268" s="13"/>
      <c r="Q268" s="14"/>
      <c r="R268" s="14">
        <f t="shared" si="1"/>
        <v>3000000</v>
      </c>
      <c r="S268" s="15">
        <f t="shared" si="2"/>
        <v>0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22.5" customHeight="1">
      <c r="A269" s="9">
        <v>45884.0</v>
      </c>
      <c r="B269" s="11" t="s">
        <v>479</v>
      </c>
      <c r="C269" s="16" t="s">
        <v>9</v>
      </c>
      <c r="D269" s="13" t="s">
        <v>156</v>
      </c>
      <c r="E269" s="13">
        <f t="shared" si="3"/>
        <v>-498000</v>
      </c>
      <c r="F269" s="14"/>
      <c r="G269" s="14"/>
      <c r="H269" s="14"/>
      <c r="I269" s="14"/>
      <c r="J269" s="14">
        <f>-(50+203+80+100+60+5)*1000</f>
        <v>-498000</v>
      </c>
      <c r="K269" s="14"/>
      <c r="L269" s="14"/>
      <c r="M269" s="14"/>
      <c r="N269" s="14"/>
      <c r="O269" s="14"/>
      <c r="P269" s="14"/>
      <c r="Q269" s="14"/>
      <c r="R269" s="14">
        <f t="shared" si="1"/>
        <v>498000</v>
      </c>
      <c r="S269" s="15">
        <f t="shared" si="2"/>
        <v>0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22.5" customHeight="1">
      <c r="A270" s="9">
        <v>45887.0</v>
      </c>
      <c r="B270" s="11" t="s">
        <v>480</v>
      </c>
      <c r="C270" s="16" t="s">
        <v>481</v>
      </c>
      <c r="D270" s="13" t="s">
        <v>15</v>
      </c>
      <c r="E270" s="13">
        <f t="shared" si="3"/>
        <v>-500303</v>
      </c>
      <c r="F270" s="14"/>
      <c r="G270" s="14"/>
      <c r="H270" s="13">
        <v>-500303.0</v>
      </c>
      <c r="I270" s="13">
        <v>303.0</v>
      </c>
      <c r="J270" s="14"/>
      <c r="K270" s="14"/>
      <c r="L270" s="14"/>
      <c r="M270" s="14"/>
      <c r="N270" s="14"/>
      <c r="O270" s="14"/>
      <c r="P270" s="13">
        <v>500000.0</v>
      </c>
      <c r="Q270" s="14"/>
      <c r="R270" s="14">
        <f t="shared" si="1"/>
        <v>500303</v>
      </c>
      <c r="S270" s="15">
        <f t="shared" si="2"/>
        <v>0</v>
      </c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22.5" customHeight="1">
      <c r="A271" s="9">
        <v>45889.0</v>
      </c>
      <c r="B271" s="11" t="s">
        <v>482</v>
      </c>
      <c r="C271" s="16" t="s">
        <v>9</v>
      </c>
      <c r="D271" s="13" t="s">
        <v>156</v>
      </c>
      <c r="E271" s="13">
        <f t="shared" si="3"/>
        <v>-445000</v>
      </c>
      <c r="F271" s="14"/>
      <c r="G271" s="14"/>
      <c r="H271" s="14"/>
      <c r="I271" s="14"/>
      <c r="J271" s="14">
        <f>-(200000+45000+200000)</f>
        <v>-445000</v>
      </c>
      <c r="K271" s="14"/>
      <c r="L271" s="14"/>
      <c r="M271" s="14"/>
      <c r="N271" s="14"/>
      <c r="O271" s="14"/>
      <c r="P271" s="14"/>
      <c r="Q271" s="14"/>
      <c r="R271" s="14">
        <f t="shared" si="1"/>
        <v>445000</v>
      </c>
      <c r="S271" s="15">
        <f t="shared" si="2"/>
        <v>0</v>
      </c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22.5" customHeight="1">
      <c r="A272" s="9">
        <v>45889.0</v>
      </c>
      <c r="B272" s="11" t="s">
        <v>434</v>
      </c>
      <c r="C272" s="16" t="s">
        <v>82</v>
      </c>
      <c r="D272" s="13" t="s">
        <v>27</v>
      </c>
      <c r="E272" s="13">
        <f t="shared" si="3"/>
        <v>200000</v>
      </c>
      <c r="F272" s="13">
        <v>200000.0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5">
        <f t="shared" si="1"/>
        <v>0</v>
      </c>
      <c r="S272" s="14">
        <f t="shared" si="2"/>
        <v>-200000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22.5" customHeight="1">
      <c r="A273" s="9">
        <v>45889.0</v>
      </c>
      <c r="B273" s="11" t="s">
        <v>452</v>
      </c>
      <c r="C273" s="16" t="s">
        <v>80</v>
      </c>
      <c r="D273" s="13" t="s">
        <v>38</v>
      </c>
      <c r="E273" s="13">
        <f t="shared" si="3"/>
        <v>0</v>
      </c>
      <c r="F273" s="13">
        <v>-2.0E7</v>
      </c>
      <c r="G273" s="14"/>
      <c r="H273" s="13">
        <v>2.0E7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5">
        <f t="shared" si="1"/>
        <v>0</v>
      </c>
      <c r="S273" s="15">
        <f t="shared" si="2"/>
        <v>0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22.5" customHeight="1">
      <c r="A274" s="9">
        <v>45889.0</v>
      </c>
      <c r="B274" s="11" t="s">
        <v>483</v>
      </c>
      <c r="C274" s="16" t="s">
        <v>264</v>
      </c>
      <c r="D274" s="13" t="s">
        <v>30</v>
      </c>
      <c r="E274" s="13">
        <f t="shared" si="3"/>
        <v>-6000301</v>
      </c>
      <c r="F274" s="14"/>
      <c r="G274" s="14"/>
      <c r="H274" s="13">
        <v>-6000301.0</v>
      </c>
      <c r="I274" s="13">
        <v>301.0</v>
      </c>
      <c r="J274" s="14"/>
      <c r="K274" s="14"/>
      <c r="L274" s="14"/>
      <c r="M274" s="13">
        <v>6000000.0</v>
      </c>
      <c r="N274" s="14"/>
      <c r="O274" s="14"/>
      <c r="P274" s="14"/>
      <c r="Q274" s="14"/>
      <c r="R274" s="14">
        <f t="shared" si="1"/>
        <v>6000301</v>
      </c>
      <c r="S274" s="15">
        <f t="shared" si="2"/>
        <v>0</v>
      </c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22.5" customHeight="1">
      <c r="A275" s="9">
        <v>45890.0</v>
      </c>
      <c r="B275" s="11" t="s">
        <v>484</v>
      </c>
      <c r="C275" s="16" t="s">
        <v>417</v>
      </c>
      <c r="D275" s="13" t="s">
        <v>28</v>
      </c>
      <c r="E275" s="13">
        <f t="shared" si="3"/>
        <v>-500000</v>
      </c>
      <c r="F275" s="14"/>
      <c r="G275" s="14"/>
      <c r="H275" s="13">
        <v>-500000.0</v>
      </c>
      <c r="I275" s="14"/>
      <c r="J275" s="14"/>
      <c r="K275" s="14"/>
      <c r="L275" s="14"/>
      <c r="M275" s="14"/>
      <c r="N275" s="14"/>
      <c r="O275" s="13">
        <v>500000.0</v>
      </c>
      <c r="P275" s="14"/>
      <c r="Q275" s="14"/>
      <c r="R275" s="14">
        <f t="shared" si="1"/>
        <v>500000</v>
      </c>
      <c r="S275" s="15">
        <f t="shared" si="2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22.5" customHeight="1">
      <c r="A276" s="9">
        <v>45891.0</v>
      </c>
      <c r="B276" s="11" t="s">
        <v>485</v>
      </c>
      <c r="C276" s="16" t="s">
        <v>9</v>
      </c>
      <c r="D276" s="13" t="s">
        <v>160</v>
      </c>
      <c r="E276" s="13">
        <f t="shared" si="3"/>
        <v>0</v>
      </c>
      <c r="F276" s="14"/>
      <c r="G276" s="14"/>
      <c r="H276" s="13">
        <v>-4980004.0</v>
      </c>
      <c r="I276" s="14"/>
      <c r="J276" s="13">
        <v>4980004.0</v>
      </c>
      <c r="K276" s="14"/>
      <c r="L276" s="14"/>
      <c r="M276" s="14"/>
      <c r="N276" s="14"/>
      <c r="O276" s="14"/>
      <c r="P276" s="14"/>
      <c r="Q276" s="14"/>
      <c r="R276" s="15">
        <f t="shared" si="1"/>
        <v>0</v>
      </c>
      <c r="S276" s="15">
        <f t="shared" si="2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22.5" customHeight="1">
      <c r="A277" s="9">
        <v>45891.0</v>
      </c>
      <c r="B277" s="11" t="s">
        <v>486</v>
      </c>
      <c r="C277" s="16" t="s">
        <v>9</v>
      </c>
      <c r="D277" s="13" t="s">
        <v>160</v>
      </c>
      <c r="E277" s="13">
        <f t="shared" si="3"/>
        <v>0</v>
      </c>
      <c r="F277" s="14"/>
      <c r="G277" s="14"/>
      <c r="H277" s="13">
        <v>4980000.0</v>
      </c>
      <c r="I277" s="14"/>
      <c r="J277" s="13">
        <v>-4980000.0</v>
      </c>
      <c r="K277" s="14"/>
      <c r="L277" s="14"/>
      <c r="M277" s="14"/>
      <c r="N277" s="14"/>
      <c r="O277" s="14"/>
      <c r="P277" s="14"/>
      <c r="Q277" s="14"/>
      <c r="R277" s="15">
        <f t="shared" si="1"/>
        <v>0</v>
      </c>
      <c r="S277" s="15">
        <f t="shared" si="2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22.5" customHeight="1">
      <c r="A278" s="9">
        <v>45891.0</v>
      </c>
      <c r="B278" s="11" t="s">
        <v>487</v>
      </c>
      <c r="C278" s="16" t="s">
        <v>9</v>
      </c>
      <c r="D278" s="13" t="s">
        <v>160</v>
      </c>
      <c r="E278" s="13">
        <f t="shared" si="3"/>
        <v>0</v>
      </c>
      <c r="F278" s="14"/>
      <c r="G278" s="14"/>
      <c r="H278" s="13">
        <v>-498000.0</v>
      </c>
      <c r="I278" s="14"/>
      <c r="J278" s="13">
        <v>498000.0</v>
      </c>
      <c r="K278" s="14"/>
      <c r="L278" s="14"/>
      <c r="M278" s="14"/>
      <c r="N278" s="14"/>
      <c r="O278" s="14"/>
      <c r="P278" s="14"/>
      <c r="Q278" s="14"/>
      <c r="R278" s="15">
        <f t="shared" si="1"/>
        <v>0</v>
      </c>
      <c r="S278" s="15">
        <f t="shared" si="2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22.5" customHeight="1">
      <c r="A279" s="9">
        <v>45891.0</v>
      </c>
      <c r="B279" s="11" t="s">
        <v>488</v>
      </c>
      <c r="C279" s="16" t="s">
        <v>489</v>
      </c>
      <c r="D279" s="13" t="s">
        <v>15</v>
      </c>
      <c r="E279" s="13">
        <f t="shared" si="3"/>
        <v>-500000</v>
      </c>
      <c r="F279" s="14"/>
      <c r="G279" s="14"/>
      <c r="H279" s="13">
        <v>-500000.0</v>
      </c>
      <c r="I279" s="14"/>
      <c r="J279" s="14"/>
      <c r="K279" s="14"/>
      <c r="L279" s="14"/>
      <c r="M279" s="14"/>
      <c r="N279" s="14"/>
      <c r="O279" s="13"/>
      <c r="P279" s="14"/>
      <c r="Q279" s="14"/>
      <c r="R279" s="14">
        <f t="shared" si="1"/>
        <v>500000</v>
      </c>
      <c r="S279" s="15">
        <f t="shared" si="2"/>
        <v>0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22.5" customHeight="1">
      <c r="A280" s="9">
        <v>45892.0</v>
      </c>
      <c r="B280" s="11" t="s">
        <v>228</v>
      </c>
      <c r="C280" s="16" t="s">
        <v>229</v>
      </c>
      <c r="D280" s="13" t="s">
        <v>58</v>
      </c>
      <c r="E280" s="13">
        <f t="shared" si="3"/>
        <v>7861975</v>
      </c>
      <c r="F280" s="13">
        <v>7861975.0</v>
      </c>
      <c r="G280" s="14"/>
      <c r="H280" s="13"/>
      <c r="I280" s="14"/>
      <c r="J280" s="14"/>
      <c r="K280" s="14"/>
      <c r="L280" s="14"/>
      <c r="M280" s="14"/>
      <c r="N280" s="14"/>
      <c r="O280" s="14"/>
      <c r="P280" s="14"/>
      <c r="Q280" s="14"/>
      <c r="R280" s="15">
        <f t="shared" si="1"/>
        <v>0</v>
      </c>
      <c r="S280" s="14">
        <f t="shared" si="2"/>
        <v>-7861975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22.5" customHeight="1">
      <c r="A281" s="9">
        <v>45892.0</v>
      </c>
      <c r="B281" s="11" t="s">
        <v>490</v>
      </c>
      <c r="C281" s="16" t="s">
        <v>62</v>
      </c>
      <c r="D281" s="13" t="s">
        <v>58</v>
      </c>
      <c r="E281" s="13">
        <f t="shared" si="3"/>
        <v>-3466710</v>
      </c>
      <c r="F281" s="14"/>
      <c r="G281" s="14"/>
      <c r="H281" s="13">
        <v>-3466710.0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>
        <f t="shared" si="1"/>
        <v>3466710</v>
      </c>
      <c r="S281" s="15">
        <f t="shared" si="2"/>
        <v>0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22.5" customHeight="1">
      <c r="A282" s="9">
        <v>45893.0</v>
      </c>
      <c r="B282" s="11" t="s">
        <v>491</v>
      </c>
      <c r="C282" s="16" t="s">
        <v>83</v>
      </c>
      <c r="D282" s="13" t="s">
        <v>156</v>
      </c>
      <c r="E282" s="13">
        <f t="shared" si="3"/>
        <v>-220500</v>
      </c>
      <c r="F282" s="14"/>
      <c r="G282" s="14"/>
      <c r="H282" s="13">
        <v>-220500.0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>
        <f t="shared" si="1"/>
        <v>220500</v>
      </c>
      <c r="S282" s="15">
        <f t="shared" si="2"/>
        <v>0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22.5" customHeight="1">
      <c r="A283" s="9">
        <v>45896.0</v>
      </c>
      <c r="B283" s="11" t="s">
        <v>492</v>
      </c>
      <c r="C283" s="16" t="s">
        <v>493</v>
      </c>
      <c r="D283" s="13" t="s">
        <v>54</v>
      </c>
      <c r="E283" s="13">
        <f t="shared" si="3"/>
        <v>-4020300</v>
      </c>
      <c r="F283" s="14"/>
      <c r="G283" s="14"/>
      <c r="H283" s="13">
        <v>-4020300.0</v>
      </c>
      <c r="I283" s="13">
        <v>300.0</v>
      </c>
      <c r="J283" s="14"/>
      <c r="K283" s="14"/>
      <c r="L283" s="14"/>
      <c r="M283" s="14"/>
      <c r="N283" s="14"/>
      <c r="O283" s="14"/>
      <c r="P283" s="14"/>
      <c r="Q283" s="14"/>
      <c r="R283" s="14">
        <f t="shared" si="1"/>
        <v>4020300</v>
      </c>
      <c r="S283" s="15">
        <f t="shared" si="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22.5" customHeight="1">
      <c r="A284" s="9">
        <v>45897.0</v>
      </c>
      <c r="B284" s="11" t="s">
        <v>494</v>
      </c>
      <c r="C284" s="16" t="s">
        <v>495</v>
      </c>
      <c r="D284" s="13" t="s">
        <v>48</v>
      </c>
      <c r="E284" s="13">
        <f t="shared" si="3"/>
        <v>3000000</v>
      </c>
      <c r="F284" s="13">
        <v>3000000.0</v>
      </c>
      <c r="G284" s="14"/>
      <c r="H284" s="13"/>
      <c r="I284" s="14"/>
      <c r="J284" s="14"/>
      <c r="K284" s="14"/>
      <c r="L284" s="14"/>
      <c r="M284" s="14"/>
      <c r="N284" s="14"/>
      <c r="O284" s="14"/>
      <c r="P284" s="14"/>
      <c r="Q284" s="14"/>
      <c r="R284" s="15">
        <f t="shared" si="1"/>
        <v>0</v>
      </c>
      <c r="S284" s="14">
        <f t="shared" si="2"/>
        <v>-3000000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22.5" customHeight="1">
      <c r="A285" s="9">
        <v>45897.0</v>
      </c>
      <c r="B285" s="11" t="s">
        <v>496</v>
      </c>
      <c r="C285" s="16" t="s">
        <v>497</v>
      </c>
      <c r="D285" s="13" t="s">
        <v>34</v>
      </c>
      <c r="E285" s="13">
        <f t="shared" si="3"/>
        <v>-2500000</v>
      </c>
      <c r="F285" s="14"/>
      <c r="G285" s="14"/>
      <c r="H285" s="13">
        <v>-2500000.0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>
        <f t="shared" si="1"/>
        <v>2500000</v>
      </c>
      <c r="S285" s="15">
        <f t="shared" si="2"/>
        <v>0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22.5" customHeight="1">
      <c r="A286" s="9">
        <v>45898.0</v>
      </c>
      <c r="B286" s="11" t="s">
        <v>498</v>
      </c>
      <c r="C286" s="16" t="s">
        <v>433</v>
      </c>
      <c r="D286" s="13" t="s">
        <v>13</v>
      </c>
      <c r="E286" s="13">
        <f t="shared" si="3"/>
        <v>-215000</v>
      </c>
      <c r="F286" s="14"/>
      <c r="G286" s="14"/>
      <c r="H286" s="14"/>
      <c r="I286" s="14"/>
      <c r="J286" s="14">
        <f>-(75+45+95)*1000</f>
        <v>-215000</v>
      </c>
      <c r="K286" s="14"/>
      <c r="L286" s="14"/>
      <c r="M286" s="14"/>
      <c r="N286" s="14"/>
      <c r="O286" s="14"/>
      <c r="P286" s="14"/>
      <c r="Q286" s="14"/>
      <c r="R286" s="14">
        <f t="shared" si="1"/>
        <v>215000</v>
      </c>
      <c r="S286" s="15">
        <f t="shared" si="2"/>
        <v>0</v>
      </c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22.5" customHeight="1">
      <c r="A287" s="9">
        <v>45900.0</v>
      </c>
      <c r="B287" s="11" t="s">
        <v>499</v>
      </c>
      <c r="C287" s="16" t="s">
        <v>399</v>
      </c>
      <c r="D287" s="13" t="s">
        <v>28</v>
      </c>
      <c r="E287" s="13">
        <f t="shared" si="3"/>
        <v>-250300</v>
      </c>
      <c r="F287" s="14"/>
      <c r="G287" s="14"/>
      <c r="H287" s="13">
        <v>-250300.0</v>
      </c>
      <c r="I287" s="13">
        <v>300.0</v>
      </c>
      <c r="J287" s="14"/>
      <c r="K287" s="14"/>
      <c r="L287" s="14"/>
      <c r="M287" s="14"/>
      <c r="N287" s="13"/>
      <c r="O287" s="13">
        <v>250000.0</v>
      </c>
      <c r="P287" s="14"/>
      <c r="Q287" s="14"/>
      <c r="R287" s="14">
        <f t="shared" si="1"/>
        <v>250300</v>
      </c>
      <c r="S287" s="15">
        <f t="shared" si="2"/>
        <v>0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22.5" customHeight="1">
      <c r="A288" s="9">
        <v>45901.0</v>
      </c>
      <c r="B288" s="11" t="s">
        <v>500</v>
      </c>
      <c r="C288" s="16" t="s">
        <v>9</v>
      </c>
      <c r="D288" s="13" t="s">
        <v>156</v>
      </c>
      <c r="E288" s="13">
        <f t="shared" si="3"/>
        <v>-538000</v>
      </c>
      <c r="F288" s="14"/>
      <c r="G288" s="14"/>
      <c r="H288" s="14"/>
      <c r="I288" s="14"/>
      <c r="J288" s="14">
        <f>-(200+338)*1000</f>
        <v>-538000</v>
      </c>
      <c r="K288" s="14"/>
      <c r="L288" s="14"/>
      <c r="M288" s="14"/>
      <c r="N288" s="14"/>
      <c r="O288" s="14"/>
      <c r="P288" s="14"/>
      <c r="Q288" s="14"/>
      <c r="R288" s="14">
        <f t="shared" si="1"/>
        <v>538000</v>
      </c>
      <c r="S288" s="15">
        <f t="shared" si="2"/>
        <v>0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22.5" customHeight="1">
      <c r="A289" s="9">
        <v>45902.0</v>
      </c>
      <c r="B289" s="11" t="s">
        <v>501</v>
      </c>
      <c r="C289" s="16" t="s">
        <v>502</v>
      </c>
      <c r="D289" s="13" t="s">
        <v>28</v>
      </c>
      <c r="E289" s="13">
        <f t="shared" si="3"/>
        <v>-305301</v>
      </c>
      <c r="F289" s="14"/>
      <c r="G289" s="14"/>
      <c r="H289" s="13">
        <v>-305301.0</v>
      </c>
      <c r="I289" s="13">
        <v>301.0</v>
      </c>
      <c r="J289" s="14"/>
      <c r="K289" s="14"/>
      <c r="L289" s="14"/>
      <c r="M289" s="14"/>
      <c r="N289" s="13">
        <v>305000.0</v>
      </c>
      <c r="O289" s="14"/>
      <c r="P289" s="14"/>
      <c r="Q289" s="14"/>
      <c r="R289" s="14">
        <f t="shared" si="1"/>
        <v>305301</v>
      </c>
      <c r="S289" s="15">
        <f t="shared" si="2"/>
        <v>0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22.5" customHeight="1">
      <c r="A290" s="9">
        <v>45903.0</v>
      </c>
      <c r="B290" s="11" t="s">
        <v>503</v>
      </c>
      <c r="C290" s="16" t="s">
        <v>504</v>
      </c>
      <c r="D290" s="13" t="s">
        <v>54</v>
      </c>
      <c r="E290" s="13">
        <f t="shared" si="3"/>
        <v>-6000301</v>
      </c>
      <c r="F290" s="14"/>
      <c r="G290" s="14"/>
      <c r="H290" s="13">
        <v>-6000301.0</v>
      </c>
      <c r="I290" s="13">
        <v>301.0</v>
      </c>
      <c r="J290" s="14"/>
      <c r="K290" s="14"/>
      <c r="L290" s="14"/>
      <c r="M290" s="14"/>
      <c r="N290" s="14"/>
      <c r="O290" s="14"/>
      <c r="P290" s="14"/>
      <c r="Q290" s="14"/>
      <c r="R290" s="14">
        <f t="shared" si="1"/>
        <v>6000301</v>
      </c>
      <c r="S290" s="15">
        <f t="shared" si="2"/>
        <v>0</v>
      </c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22.5" customHeight="1">
      <c r="A291" s="9">
        <v>45903.0</v>
      </c>
      <c r="B291" s="11" t="s">
        <v>505</v>
      </c>
      <c r="C291" s="16" t="s">
        <v>9</v>
      </c>
      <c r="D291" s="13" t="s">
        <v>167</v>
      </c>
      <c r="E291" s="13">
        <f t="shared" si="3"/>
        <v>-1500000</v>
      </c>
      <c r="F291" s="14"/>
      <c r="G291" s="14"/>
      <c r="H291" s="13">
        <v>-1500000.0</v>
      </c>
      <c r="I291" s="14"/>
      <c r="J291" s="14"/>
      <c r="K291" s="14"/>
      <c r="L291" s="14"/>
      <c r="M291" s="14"/>
      <c r="N291" s="14"/>
      <c r="O291" s="14"/>
      <c r="P291" s="14"/>
      <c r="Q291" s="14"/>
      <c r="R291" s="14">
        <f t="shared" si="1"/>
        <v>1500000</v>
      </c>
      <c r="S291" s="15">
        <f t="shared" si="2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22.5" customHeight="1">
      <c r="A292" s="9">
        <v>45903.0</v>
      </c>
      <c r="B292" s="11" t="s">
        <v>506</v>
      </c>
      <c r="C292" s="16" t="s">
        <v>9</v>
      </c>
      <c r="D292" s="13" t="s">
        <v>160</v>
      </c>
      <c r="E292" s="13">
        <f t="shared" si="3"/>
        <v>0</v>
      </c>
      <c r="F292" s="14"/>
      <c r="G292" s="14"/>
      <c r="H292" s="13">
        <v>-1198000.0</v>
      </c>
      <c r="I292" s="14"/>
      <c r="J292" s="13">
        <v>1198000.0</v>
      </c>
      <c r="K292" s="14"/>
      <c r="L292" s="14"/>
      <c r="M292" s="14"/>
      <c r="N292" s="14"/>
      <c r="O292" s="14"/>
      <c r="P292" s="14"/>
      <c r="Q292" s="14"/>
      <c r="R292" s="15">
        <f t="shared" si="1"/>
        <v>0</v>
      </c>
      <c r="S292" s="15">
        <f t="shared" si="2"/>
        <v>0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22.5" customHeight="1">
      <c r="A293" s="9">
        <v>45903.0</v>
      </c>
      <c r="B293" s="11" t="s">
        <v>51</v>
      </c>
      <c r="C293" s="16" t="s">
        <v>80</v>
      </c>
      <c r="D293" s="13" t="s">
        <v>160</v>
      </c>
      <c r="E293" s="13">
        <f t="shared" si="3"/>
        <v>0</v>
      </c>
      <c r="F293" s="13">
        <v>-2.0E7</v>
      </c>
      <c r="G293" s="14"/>
      <c r="H293" s="13">
        <v>2.0E7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5">
        <f t="shared" si="1"/>
        <v>0</v>
      </c>
      <c r="S293" s="15">
        <f t="shared" si="2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22.5" customHeight="1">
      <c r="A294" s="9">
        <v>45904.0</v>
      </c>
      <c r="B294" s="11" t="s">
        <v>507</v>
      </c>
      <c r="C294" s="16" t="s">
        <v>9</v>
      </c>
      <c r="D294" s="13" t="s">
        <v>156</v>
      </c>
      <c r="E294" s="13">
        <f t="shared" si="3"/>
        <v>-203000</v>
      </c>
      <c r="F294" s="14"/>
      <c r="G294" s="14"/>
      <c r="H294" s="14"/>
      <c r="I294" s="14"/>
      <c r="J294" s="13">
        <v>-203000.0</v>
      </c>
      <c r="K294" s="14"/>
      <c r="L294" s="14"/>
      <c r="M294" s="14"/>
      <c r="N294" s="14"/>
      <c r="O294" s="14"/>
      <c r="P294" s="14"/>
      <c r="Q294" s="14"/>
      <c r="R294" s="14">
        <f t="shared" si="1"/>
        <v>203000</v>
      </c>
      <c r="S294" s="15">
        <f t="shared" si="2"/>
        <v>0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22.5" customHeight="1">
      <c r="A295" s="9">
        <v>45904.0</v>
      </c>
      <c r="B295" s="11" t="s">
        <v>508</v>
      </c>
      <c r="C295" s="16" t="s">
        <v>9</v>
      </c>
      <c r="D295" s="13" t="s">
        <v>13</v>
      </c>
      <c r="E295" s="13">
        <f t="shared" si="3"/>
        <v>-200000</v>
      </c>
      <c r="F295" s="14"/>
      <c r="G295" s="14"/>
      <c r="H295" s="14"/>
      <c r="I295" s="14"/>
      <c r="J295" s="13">
        <v>-200000.0</v>
      </c>
      <c r="K295" s="14"/>
      <c r="L295" s="14"/>
      <c r="M295" s="14"/>
      <c r="N295" s="14"/>
      <c r="O295" s="14"/>
      <c r="P295" s="14"/>
      <c r="Q295" s="14"/>
      <c r="R295" s="14">
        <f t="shared" si="1"/>
        <v>200000</v>
      </c>
      <c r="S295" s="15">
        <f t="shared" si="2"/>
        <v>0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22.5" customHeight="1">
      <c r="A296" s="9">
        <v>45905.0</v>
      </c>
      <c r="B296" s="11" t="s">
        <v>509</v>
      </c>
      <c r="C296" s="16" t="s">
        <v>9</v>
      </c>
      <c r="D296" s="13" t="s">
        <v>156</v>
      </c>
      <c r="E296" s="13">
        <f t="shared" si="3"/>
        <v>-95000</v>
      </c>
      <c r="F296" s="14"/>
      <c r="G296" s="14"/>
      <c r="H296" s="14"/>
      <c r="I296" s="14"/>
      <c r="J296" s="13">
        <v>-95000.0</v>
      </c>
      <c r="K296" s="14"/>
      <c r="L296" s="14"/>
      <c r="M296" s="14"/>
      <c r="N296" s="14"/>
      <c r="O296" s="14"/>
      <c r="P296" s="14"/>
      <c r="Q296" s="14"/>
      <c r="R296" s="14">
        <f t="shared" si="1"/>
        <v>95000</v>
      </c>
      <c r="S296" s="15">
        <f t="shared" si="2"/>
        <v>0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22.5" customHeight="1">
      <c r="A297" s="9">
        <v>45905.0</v>
      </c>
      <c r="B297" s="11" t="s">
        <v>510</v>
      </c>
      <c r="C297" s="16" t="s">
        <v>511</v>
      </c>
      <c r="D297" s="13" t="s">
        <v>13</v>
      </c>
      <c r="E297" s="13">
        <f t="shared" si="3"/>
        <v>-457000</v>
      </c>
      <c r="F297" s="14"/>
      <c r="G297" s="14"/>
      <c r="H297" s="14"/>
      <c r="I297" s="14"/>
      <c r="J297" s="14">
        <f>-(169000+100000+88000+100000)</f>
        <v>-457000</v>
      </c>
      <c r="K297" s="14"/>
      <c r="L297" s="14"/>
      <c r="M297" s="14"/>
      <c r="N297" s="14"/>
      <c r="O297" s="14"/>
      <c r="P297" s="14"/>
      <c r="Q297" s="14"/>
      <c r="R297" s="14">
        <f t="shared" si="1"/>
        <v>457000</v>
      </c>
      <c r="S297" s="15">
        <f t="shared" si="2"/>
        <v>0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22.5" customHeight="1">
      <c r="A298" s="9">
        <v>45905.0</v>
      </c>
      <c r="B298" s="11" t="s">
        <v>512</v>
      </c>
      <c r="C298" s="16" t="s">
        <v>399</v>
      </c>
      <c r="D298" s="13" t="s">
        <v>28</v>
      </c>
      <c r="E298" s="13">
        <f t="shared" si="3"/>
        <v>-1160300</v>
      </c>
      <c r="F298" s="14"/>
      <c r="G298" s="14"/>
      <c r="H298" s="13">
        <v>-1160300.0</v>
      </c>
      <c r="I298" s="13">
        <v>300.0</v>
      </c>
      <c r="J298" s="14"/>
      <c r="K298" s="14"/>
      <c r="L298" s="14"/>
      <c r="M298" s="14"/>
      <c r="N298" s="14"/>
      <c r="O298" s="14"/>
      <c r="P298" s="14"/>
      <c r="Q298" s="14"/>
      <c r="R298" s="14">
        <f t="shared" si="1"/>
        <v>1160300</v>
      </c>
      <c r="S298" s="15">
        <f t="shared" si="2"/>
        <v>0</v>
      </c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22.5" customHeight="1">
      <c r="A299" s="9">
        <v>45906.0</v>
      </c>
      <c r="B299" s="11" t="s">
        <v>513</v>
      </c>
      <c r="C299" s="16" t="s">
        <v>514</v>
      </c>
      <c r="D299" s="13" t="s">
        <v>28</v>
      </c>
      <c r="E299" s="13">
        <f t="shared" si="3"/>
        <v>-83000</v>
      </c>
      <c r="F299" s="14"/>
      <c r="G299" s="14"/>
      <c r="H299" s="14"/>
      <c r="I299" s="14"/>
      <c r="J299" s="13">
        <v>-83000.0</v>
      </c>
      <c r="K299" s="14"/>
      <c r="L299" s="14"/>
      <c r="M299" s="14"/>
      <c r="N299" s="14"/>
      <c r="O299" s="14"/>
      <c r="P299" s="14"/>
      <c r="Q299" s="14"/>
      <c r="R299" s="14">
        <f t="shared" si="1"/>
        <v>83000</v>
      </c>
      <c r="S299" s="15">
        <f t="shared" si="2"/>
        <v>0</v>
      </c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22.5" customHeight="1">
      <c r="A300" s="9">
        <v>45908.0</v>
      </c>
      <c r="B300" s="11" t="s">
        <v>515</v>
      </c>
      <c r="C300" s="16" t="s">
        <v>9</v>
      </c>
      <c r="D300" s="13" t="s">
        <v>160</v>
      </c>
      <c r="E300" s="13">
        <f t="shared" si="3"/>
        <v>0</v>
      </c>
      <c r="F300" s="14"/>
      <c r="G300" s="14"/>
      <c r="H300" s="13">
        <v>-1038000.0</v>
      </c>
      <c r="I300" s="14"/>
      <c r="J300" s="13">
        <v>1038000.0</v>
      </c>
      <c r="K300" s="14"/>
      <c r="L300" s="14"/>
      <c r="M300" s="14"/>
      <c r="N300" s="14"/>
      <c r="O300" s="14"/>
      <c r="P300" s="14"/>
      <c r="Q300" s="14"/>
      <c r="R300" s="15">
        <f t="shared" si="1"/>
        <v>0</v>
      </c>
      <c r="S300" s="15">
        <f t="shared" si="2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22.5" customHeight="1">
      <c r="A301" s="9">
        <v>45908.0</v>
      </c>
      <c r="B301" s="11" t="s">
        <v>516</v>
      </c>
      <c r="C301" s="16" t="s">
        <v>489</v>
      </c>
      <c r="D301" s="13" t="s">
        <v>517</v>
      </c>
      <c r="E301" s="13">
        <f t="shared" si="3"/>
        <v>-1000000</v>
      </c>
      <c r="F301" s="14"/>
      <c r="G301" s="14"/>
      <c r="H301" s="13">
        <v>-1000000.0</v>
      </c>
      <c r="I301" s="14"/>
      <c r="J301" s="14"/>
      <c r="K301" s="14"/>
      <c r="L301" s="14"/>
      <c r="M301" s="14"/>
      <c r="N301" s="14"/>
      <c r="O301" s="14"/>
      <c r="P301" s="14"/>
      <c r="Q301" s="14"/>
      <c r="R301" s="14">
        <f t="shared" si="1"/>
        <v>1000000</v>
      </c>
      <c r="S301" s="15">
        <f t="shared" si="2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22.5" customHeight="1">
      <c r="A302" s="9">
        <v>45910.0</v>
      </c>
      <c r="B302" s="11" t="s">
        <v>518</v>
      </c>
      <c r="C302" s="16" t="s">
        <v>519</v>
      </c>
      <c r="D302" s="13" t="s">
        <v>13</v>
      </c>
      <c r="E302" s="13">
        <f t="shared" si="3"/>
        <v>-793000</v>
      </c>
      <c r="F302" s="14"/>
      <c r="G302" s="14"/>
      <c r="H302" s="13">
        <v>-793000.0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>
        <f t="shared" si="1"/>
        <v>793000</v>
      </c>
      <c r="S302" s="15">
        <f t="shared" si="2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22.5" customHeight="1">
      <c r="A303" s="9">
        <v>45911.0</v>
      </c>
      <c r="B303" s="11" t="s">
        <v>520</v>
      </c>
      <c r="C303" s="16" t="s">
        <v>519</v>
      </c>
      <c r="D303" s="13" t="s">
        <v>13</v>
      </c>
      <c r="E303" s="13">
        <f t="shared" si="3"/>
        <v>-315000</v>
      </c>
      <c r="F303" s="14"/>
      <c r="G303" s="14"/>
      <c r="H303" s="13">
        <v>-315000.0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>
        <f t="shared" si="1"/>
        <v>315000</v>
      </c>
      <c r="S303" s="15">
        <f t="shared" si="2"/>
        <v>0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22.5" customHeight="1">
      <c r="A304" s="9">
        <v>45912.0</v>
      </c>
      <c r="B304" s="11" t="s">
        <v>521</v>
      </c>
      <c r="C304" s="16" t="s">
        <v>9</v>
      </c>
      <c r="D304" s="13" t="s">
        <v>156</v>
      </c>
      <c r="E304" s="13">
        <f t="shared" si="3"/>
        <v>-5000000</v>
      </c>
      <c r="F304" s="14"/>
      <c r="G304" s="14"/>
      <c r="H304" s="13">
        <v>-5000000.0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>
        <f t="shared" si="1"/>
        <v>5000000</v>
      </c>
      <c r="S304" s="15">
        <f t="shared" si="2"/>
        <v>0</v>
      </c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22.5" customHeight="1">
      <c r="A305" s="9">
        <v>45912.0</v>
      </c>
      <c r="B305" s="11" t="s">
        <v>522</v>
      </c>
      <c r="C305" s="16" t="s">
        <v>318</v>
      </c>
      <c r="D305" s="13" t="s">
        <v>28</v>
      </c>
      <c r="E305" s="13">
        <f t="shared" si="3"/>
        <v>-250000</v>
      </c>
      <c r="F305" s="14"/>
      <c r="G305" s="14"/>
      <c r="H305" s="13">
        <v>-250000.0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>
        <f t="shared" si="1"/>
        <v>250000</v>
      </c>
      <c r="S305" s="15">
        <f t="shared" si="2"/>
        <v>0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22.5" customHeight="1">
      <c r="A306" s="9">
        <v>45913.0</v>
      </c>
      <c r="B306" s="11" t="s">
        <v>523</v>
      </c>
      <c r="C306" s="16" t="s">
        <v>74</v>
      </c>
      <c r="D306" s="13" t="s">
        <v>36</v>
      </c>
      <c r="E306" s="13">
        <f t="shared" si="3"/>
        <v>-500301</v>
      </c>
      <c r="F306" s="14"/>
      <c r="G306" s="14"/>
      <c r="H306" s="13">
        <v>-500301.0</v>
      </c>
      <c r="I306" s="13">
        <v>301.0</v>
      </c>
      <c r="J306" s="14"/>
      <c r="K306" s="14"/>
      <c r="L306" s="14"/>
      <c r="M306" s="14"/>
      <c r="N306" s="14"/>
      <c r="O306" s="14"/>
      <c r="P306" s="14"/>
      <c r="Q306" s="14"/>
      <c r="R306" s="14">
        <f t="shared" si="1"/>
        <v>500301</v>
      </c>
      <c r="S306" s="15">
        <f t="shared" si="2"/>
        <v>0</v>
      </c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22.5" customHeight="1">
      <c r="A307" s="9">
        <v>45915.0</v>
      </c>
      <c r="B307" s="11" t="s">
        <v>524</v>
      </c>
      <c r="C307" s="16" t="s">
        <v>502</v>
      </c>
      <c r="D307" s="13" t="s">
        <v>28</v>
      </c>
      <c r="E307" s="13">
        <f t="shared" si="3"/>
        <v>-250304</v>
      </c>
      <c r="F307" s="14"/>
      <c r="G307" s="14"/>
      <c r="H307" s="13">
        <v>-250304.0</v>
      </c>
      <c r="I307" s="13">
        <v>304.0</v>
      </c>
      <c r="J307" s="14"/>
      <c r="K307" s="14"/>
      <c r="L307" s="14"/>
      <c r="M307" s="14"/>
      <c r="N307" s="14"/>
      <c r="O307" s="13">
        <v>250000.0</v>
      </c>
      <c r="P307" s="14"/>
      <c r="Q307" s="14"/>
      <c r="R307" s="14">
        <f t="shared" si="1"/>
        <v>250304</v>
      </c>
      <c r="S307" s="15">
        <f t="shared" si="2"/>
        <v>0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22.5" customHeight="1">
      <c r="A308" s="9">
        <v>45917.0</v>
      </c>
      <c r="B308" s="11" t="s">
        <v>525</v>
      </c>
      <c r="C308" s="16" t="s">
        <v>417</v>
      </c>
      <c r="D308" s="13" t="s">
        <v>28</v>
      </c>
      <c r="E308" s="13">
        <f t="shared" si="3"/>
        <v>-500000</v>
      </c>
      <c r="F308" s="14"/>
      <c r="G308" s="14"/>
      <c r="H308" s="13">
        <v>-500000.0</v>
      </c>
      <c r="I308" s="14"/>
      <c r="J308" s="14"/>
      <c r="K308" s="14"/>
      <c r="L308" s="14"/>
      <c r="M308" s="14"/>
      <c r="N308" s="14"/>
      <c r="O308" s="13">
        <v>500000.0</v>
      </c>
      <c r="P308" s="14"/>
      <c r="Q308" s="14"/>
      <c r="R308" s="14">
        <f t="shared" si="1"/>
        <v>500000</v>
      </c>
      <c r="S308" s="15">
        <f t="shared" si="2"/>
        <v>0</v>
      </c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22.5" customHeight="1">
      <c r="A309" s="9">
        <v>45918.0</v>
      </c>
      <c r="B309" s="11" t="s">
        <v>526</v>
      </c>
      <c r="C309" s="16" t="s">
        <v>504</v>
      </c>
      <c r="D309" s="13" t="s">
        <v>54</v>
      </c>
      <c r="E309" s="13">
        <f t="shared" si="3"/>
        <v>19000000</v>
      </c>
      <c r="F309" s="13">
        <v>1.9E7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5">
        <f t="shared" si="1"/>
        <v>0</v>
      </c>
      <c r="S309" s="14">
        <f t="shared" si="2"/>
        <v>-19000000</v>
      </c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22.5" customHeight="1">
      <c r="A310" s="9">
        <v>45918.0</v>
      </c>
      <c r="B310" s="11" t="s">
        <v>527</v>
      </c>
      <c r="C310" s="16" t="s">
        <v>429</v>
      </c>
      <c r="D310" s="13" t="s">
        <v>13</v>
      </c>
      <c r="E310" s="13">
        <f t="shared" si="3"/>
        <v>-259000</v>
      </c>
      <c r="F310" s="14"/>
      <c r="G310" s="14"/>
      <c r="H310" s="13">
        <v>-259000.0</v>
      </c>
      <c r="I310" s="14"/>
      <c r="J310" s="14"/>
      <c r="K310" s="14"/>
      <c r="L310" s="14"/>
      <c r="M310" s="14"/>
      <c r="N310" s="13">
        <v>259000.0</v>
      </c>
      <c r="O310" s="14"/>
      <c r="P310" s="14"/>
      <c r="Q310" s="14"/>
      <c r="R310" s="14">
        <f t="shared" si="1"/>
        <v>259000</v>
      </c>
      <c r="S310" s="15">
        <f t="shared" si="2"/>
        <v>0</v>
      </c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22.5" customHeight="1">
      <c r="A311" s="9">
        <v>45921.0</v>
      </c>
      <c r="B311" s="11" t="s">
        <v>528</v>
      </c>
      <c r="C311" s="16" t="s">
        <v>74</v>
      </c>
      <c r="D311" s="13" t="s">
        <v>156</v>
      </c>
      <c r="E311" s="13">
        <f t="shared" si="3"/>
        <v>-8000300</v>
      </c>
      <c r="F311" s="14"/>
      <c r="G311" s="14"/>
      <c r="H311" s="13">
        <v>-8000300.0</v>
      </c>
      <c r="I311" s="13">
        <v>300.0</v>
      </c>
      <c r="J311" s="14"/>
      <c r="K311" s="14"/>
      <c r="L311" s="14"/>
      <c r="M311" s="14"/>
      <c r="N311" s="14"/>
      <c r="O311" s="14"/>
      <c r="P311" s="14"/>
      <c r="Q311" s="14"/>
      <c r="R311" s="14">
        <f t="shared" si="1"/>
        <v>8000300</v>
      </c>
      <c r="S311" s="15">
        <f t="shared" si="2"/>
        <v>0</v>
      </c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22.5" customHeight="1">
      <c r="A312" s="9">
        <v>45921.0</v>
      </c>
      <c r="B312" s="11" t="s">
        <v>253</v>
      </c>
      <c r="C312" s="16" t="s">
        <v>80</v>
      </c>
      <c r="D312" s="13" t="s">
        <v>51</v>
      </c>
      <c r="E312" s="13">
        <f t="shared" si="3"/>
        <v>0</v>
      </c>
      <c r="F312" s="13">
        <v>-2.8E7</v>
      </c>
      <c r="G312" s="14"/>
      <c r="H312" s="13">
        <v>2.8E7</v>
      </c>
      <c r="I312" s="14"/>
      <c r="J312" s="14"/>
      <c r="K312" s="14"/>
      <c r="L312" s="14"/>
      <c r="M312" s="14"/>
      <c r="N312" s="14"/>
      <c r="O312" s="14"/>
      <c r="P312" s="14"/>
      <c r="Q312" s="14"/>
      <c r="R312" s="15">
        <f t="shared" si="1"/>
        <v>0</v>
      </c>
      <c r="S312" s="15">
        <f t="shared" si="2"/>
        <v>0</v>
      </c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22.5" customHeight="1">
      <c r="A313" s="9">
        <v>45922.0</v>
      </c>
      <c r="B313" s="11" t="s">
        <v>529</v>
      </c>
      <c r="C313" s="16" t="s">
        <v>411</v>
      </c>
      <c r="D313" s="13" t="s">
        <v>56</v>
      </c>
      <c r="E313" s="13">
        <f t="shared" si="3"/>
        <v>5000000</v>
      </c>
      <c r="F313" s="13">
        <v>5000000.0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5">
        <f t="shared" si="1"/>
        <v>0</v>
      </c>
      <c r="S313" s="14">
        <f t="shared" si="2"/>
        <v>-5000000</v>
      </c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22.5" customHeight="1">
      <c r="A314" s="9">
        <v>45922.0</v>
      </c>
      <c r="B314" s="11" t="s">
        <v>530</v>
      </c>
      <c r="C314" s="16" t="s">
        <v>304</v>
      </c>
      <c r="D314" s="13" t="s">
        <v>56</v>
      </c>
      <c r="E314" s="13">
        <f t="shared" si="3"/>
        <v>-3000311</v>
      </c>
      <c r="F314" s="14"/>
      <c r="G314" s="14"/>
      <c r="H314" s="13">
        <v>-3000311.0</v>
      </c>
      <c r="I314" s="13">
        <v>311.0</v>
      </c>
      <c r="J314" s="14"/>
      <c r="K314" s="13">
        <v>3000000.0</v>
      </c>
      <c r="L314" s="14"/>
      <c r="M314" s="14"/>
      <c r="N314" s="14"/>
      <c r="O314" s="14"/>
      <c r="P314" s="14"/>
      <c r="Q314" s="14"/>
      <c r="R314" s="14">
        <f t="shared" si="1"/>
        <v>3000311</v>
      </c>
      <c r="S314" s="15">
        <f t="shared" si="2"/>
        <v>0</v>
      </c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22.5" customHeight="1">
      <c r="A315" s="9">
        <v>45923.0</v>
      </c>
      <c r="B315" s="11" t="s">
        <v>531</v>
      </c>
      <c r="C315" s="16" t="s">
        <v>519</v>
      </c>
      <c r="D315" s="13" t="s">
        <v>13</v>
      </c>
      <c r="E315" s="13">
        <f t="shared" si="3"/>
        <v>-227000</v>
      </c>
      <c r="F315" s="14"/>
      <c r="G315" s="14"/>
      <c r="H315" s="13">
        <v>-227000.0</v>
      </c>
      <c r="I315" s="14"/>
      <c r="J315" s="14"/>
      <c r="K315" s="14"/>
      <c r="L315" s="14"/>
      <c r="M315" s="14"/>
      <c r="N315" s="14"/>
      <c r="O315" s="13"/>
      <c r="P315" s="14"/>
      <c r="Q315" s="14"/>
      <c r="R315" s="14">
        <f t="shared" si="1"/>
        <v>227000</v>
      </c>
      <c r="S315" s="15">
        <f t="shared" si="2"/>
        <v>0</v>
      </c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22.5" customHeight="1">
      <c r="A316" s="9">
        <v>45925.0</v>
      </c>
      <c r="B316" s="11" t="s">
        <v>228</v>
      </c>
      <c r="C316" s="16" t="s">
        <v>229</v>
      </c>
      <c r="D316" s="13" t="s">
        <v>58</v>
      </c>
      <c r="E316" s="13">
        <f t="shared" si="3"/>
        <v>14284900</v>
      </c>
      <c r="F316" s="13">
        <v>1.42849E7</v>
      </c>
      <c r="G316" s="14"/>
      <c r="H316" s="13"/>
      <c r="I316" s="14"/>
      <c r="J316" s="14"/>
      <c r="K316" s="14"/>
      <c r="L316" s="14"/>
      <c r="M316" s="14"/>
      <c r="N316" s="14"/>
      <c r="O316" s="13"/>
      <c r="P316" s="14"/>
      <c r="Q316" s="14"/>
      <c r="R316" s="15">
        <f t="shared" si="1"/>
        <v>0</v>
      </c>
      <c r="S316" s="14">
        <f t="shared" si="2"/>
        <v>-14284900</v>
      </c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22.5" customHeight="1">
      <c r="A317" s="9">
        <v>45925.0</v>
      </c>
      <c r="B317" s="11" t="s">
        <v>142</v>
      </c>
      <c r="C317" s="16" t="s">
        <v>62</v>
      </c>
      <c r="D317" s="13" t="s">
        <v>58</v>
      </c>
      <c r="E317" s="13">
        <f t="shared" si="3"/>
        <v>-5498145</v>
      </c>
      <c r="F317" s="13">
        <v>-5498145.0</v>
      </c>
      <c r="G317" s="14"/>
      <c r="H317" s="13"/>
      <c r="I317" s="14"/>
      <c r="J317" s="14"/>
      <c r="K317" s="14"/>
      <c r="L317" s="14"/>
      <c r="M317" s="14"/>
      <c r="N317" s="14"/>
      <c r="O317" s="13"/>
      <c r="P317" s="14"/>
      <c r="Q317" s="14"/>
      <c r="R317" s="14">
        <f t="shared" si="1"/>
        <v>5498145</v>
      </c>
      <c r="S317" s="15">
        <f t="shared" si="2"/>
        <v>0</v>
      </c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22.5" customHeight="1">
      <c r="A318" s="9">
        <v>45930.0</v>
      </c>
      <c r="B318" s="11" t="s">
        <v>532</v>
      </c>
      <c r="C318" s="16" t="s">
        <v>318</v>
      </c>
      <c r="D318" s="13" t="s">
        <v>28</v>
      </c>
      <c r="E318" s="13">
        <f t="shared" si="3"/>
        <v>-250000</v>
      </c>
      <c r="F318" s="14"/>
      <c r="G318" s="14"/>
      <c r="H318" s="13">
        <v>-250000.0</v>
      </c>
      <c r="I318" s="14"/>
      <c r="J318" s="14"/>
      <c r="K318" s="14"/>
      <c r="L318" s="14"/>
      <c r="M318" s="14"/>
      <c r="N318" s="14"/>
      <c r="O318" s="13">
        <v>250000.0</v>
      </c>
      <c r="P318" s="14"/>
      <c r="Q318" s="14"/>
      <c r="R318" s="14">
        <f t="shared" si="1"/>
        <v>250000</v>
      </c>
      <c r="S318" s="15">
        <f t="shared" si="2"/>
        <v>0</v>
      </c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22.5" customHeight="1">
      <c r="A319" s="9">
        <v>45931.0</v>
      </c>
      <c r="B319" s="11" t="s">
        <v>467</v>
      </c>
      <c r="C319" s="16" t="s">
        <v>9</v>
      </c>
      <c r="D319" s="13" t="s">
        <v>167</v>
      </c>
      <c r="E319" s="13">
        <f t="shared" si="3"/>
        <v>-1750000</v>
      </c>
      <c r="F319" s="14"/>
      <c r="G319" s="14"/>
      <c r="H319" s="13">
        <v>-1750000.0</v>
      </c>
      <c r="I319" s="14"/>
      <c r="J319" s="14"/>
      <c r="K319" s="14"/>
      <c r="L319" s="14"/>
      <c r="M319" s="14"/>
      <c r="N319" s="14"/>
      <c r="O319" s="13">
        <v>1750000.0</v>
      </c>
      <c r="P319" s="14"/>
      <c r="Q319" s="14"/>
      <c r="R319" s="14">
        <f t="shared" si="1"/>
        <v>1750000</v>
      </c>
      <c r="S319" s="15">
        <f t="shared" si="2"/>
        <v>0</v>
      </c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22.5" customHeight="1">
      <c r="A320" s="9">
        <v>45932.0</v>
      </c>
      <c r="B320" s="11" t="s">
        <v>252</v>
      </c>
      <c r="C320" s="16" t="s">
        <v>9</v>
      </c>
      <c r="D320" s="21" t="s">
        <v>32</v>
      </c>
      <c r="E320" s="13">
        <f t="shared" si="3"/>
        <v>-1877000</v>
      </c>
      <c r="F320" s="14"/>
      <c r="G320" s="14"/>
      <c r="H320" s="13">
        <v>-1877000.0</v>
      </c>
      <c r="I320" s="14"/>
      <c r="J320" s="14"/>
      <c r="K320" s="14"/>
      <c r="L320" s="14"/>
      <c r="M320" s="14"/>
      <c r="N320" s="14"/>
      <c r="O320" s="14"/>
      <c r="P320" s="14"/>
      <c r="Q320" s="14"/>
      <c r="R320" s="14">
        <f t="shared" si="1"/>
        <v>1877000</v>
      </c>
      <c r="S320" s="15">
        <f t="shared" si="2"/>
        <v>0</v>
      </c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22.5" customHeight="1">
      <c r="A321" s="9">
        <v>45934.0</v>
      </c>
      <c r="B321" s="11" t="s">
        <v>533</v>
      </c>
      <c r="C321" s="16" t="s">
        <v>74</v>
      </c>
      <c r="D321" s="13" t="s">
        <v>517</v>
      </c>
      <c r="E321" s="13">
        <f t="shared" si="3"/>
        <v>-500312</v>
      </c>
      <c r="F321" s="14"/>
      <c r="G321" s="14"/>
      <c r="H321" s="13">
        <v>-500312.0</v>
      </c>
      <c r="I321" s="13">
        <v>312.0</v>
      </c>
      <c r="J321" s="14"/>
      <c r="K321" s="14"/>
      <c r="L321" s="14"/>
      <c r="M321" s="14"/>
      <c r="N321" s="14"/>
      <c r="O321" s="14"/>
      <c r="P321" s="13">
        <v>500000.0</v>
      </c>
      <c r="Q321" s="14"/>
      <c r="R321" s="14">
        <f t="shared" si="1"/>
        <v>500312</v>
      </c>
      <c r="S321" s="15">
        <f t="shared" si="2"/>
        <v>0</v>
      </c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22.5" customHeight="1">
      <c r="A322" s="9">
        <v>45935.0</v>
      </c>
      <c r="B322" s="11" t="s">
        <v>534</v>
      </c>
      <c r="C322" s="16" t="s">
        <v>396</v>
      </c>
      <c r="D322" s="13" t="s">
        <v>517</v>
      </c>
      <c r="E322" s="13">
        <f t="shared" si="3"/>
        <v>-500300</v>
      </c>
      <c r="F322" s="14"/>
      <c r="G322" s="14"/>
      <c r="H322" s="13">
        <v>-500300.0</v>
      </c>
      <c r="I322" s="13">
        <v>300.0</v>
      </c>
      <c r="J322" s="14"/>
      <c r="K322" s="14"/>
      <c r="L322" s="14"/>
      <c r="M322" s="14"/>
      <c r="N322" s="14"/>
      <c r="O322" s="14"/>
      <c r="P322" s="13">
        <v>500000.0</v>
      </c>
      <c r="Q322" s="14"/>
      <c r="R322" s="14">
        <f t="shared" si="1"/>
        <v>500300</v>
      </c>
      <c r="S322" s="15">
        <f t="shared" si="2"/>
        <v>0</v>
      </c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22.5" customHeight="1">
      <c r="A323" s="9">
        <v>45935.0</v>
      </c>
      <c r="B323" s="11" t="s">
        <v>472</v>
      </c>
      <c r="C323" s="16" t="s">
        <v>426</v>
      </c>
      <c r="D323" s="13" t="s">
        <v>57</v>
      </c>
      <c r="E323" s="13">
        <f t="shared" si="3"/>
        <v>1000000</v>
      </c>
      <c r="F323" s="13">
        <v>1000000.0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5">
        <f t="shared" si="1"/>
        <v>0</v>
      </c>
      <c r="S323" s="14">
        <f t="shared" si="2"/>
        <v>-1000000</v>
      </c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22.5" customHeight="1">
      <c r="A324" s="9">
        <v>45937.0</v>
      </c>
      <c r="B324" s="11" t="s">
        <v>535</v>
      </c>
      <c r="C324" s="16" t="s">
        <v>264</v>
      </c>
      <c r="D324" s="13" t="s">
        <v>28</v>
      </c>
      <c r="E324" s="13">
        <f t="shared" si="3"/>
        <v>-600303</v>
      </c>
      <c r="F324" s="14"/>
      <c r="G324" s="14"/>
      <c r="H324" s="13">
        <v>-600303.0</v>
      </c>
      <c r="I324" s="13">
        <v>303.0</v>
      </c>
      <c r="J324" s="14"/>
      <c r="K324" s="14"/>
      <c r="L324" s="14"/>
      <c r="M324" s="14"/>
      <c r="N324" s="14"/>
      <c r="O324" s="13">
        <v>600000.0</v>
      </c>
      <c r="P324" s="14"/>
      <c r="Q324" s="14"/>
      <c r="R324" s="14">
        <f t="shared" si="1"/>
        <v>600303</v>
      </c>
      <c r="S324" s="15">
        <f t="shared" si="2"/>
        <v>0</v>
      </c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22.5" customHeight="1">
      <c r="A325" s="9">
        <v>45937.0</v>
      </c>
      <c r="B325" s="11" t="s">
        <v>536</v>
      </c>
      <c r="C325" s="16" t="s">
        <v>83</v>
      </c>
      <c r="D325" s="13" t="s">
        <v>517</v>
      </c>
      <c r="E325" s="13">
        <f t="shared" si="3"/>
        <v>-750000</v>
      </c>
      <c r="F325" s="14"/>
      <c r="G325" s="14"/>
      <c r="H325" s="13">
        <v>-750000.0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>
        <f t="shared" si="1"/>
        <v>750000</v>
      </c>
      <c r="S325" s="15">
        <f t="shared" si="2"/>
        <v>0</v>
      </c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22.5" customHeight="1">
      <c r="A326" s="9">
        <v>45938.0</v>
      </c>
      <c r="B326" s="11" t="s">
        <v>537</v>
      </c>
      <c r="C326" s="16" t="s">
        <v>538</v>
      </c>
      <c r="D326" s="13" t="s">
        <v>1</v>
      </c>
      <c r="E326" s="13">
        <f t="shared" si="3"/>
        <v>-2500302</v>
      </c>
      <c r="F326" s="14"/>
      <c r="G326" s="14"/>
      <c r="H326" s="13">
        <v>-2500302.0</v>
      </c>
      <c r="I326" s="13">
        <v>302.0</v>
      </c>
      <c r="J326" s="14"/>
      <c r="K326" s="14"/>
      <c r="L326" s="14"/>
      <c r="M326" s="13">
        <v>2500000.0</v>
      </c>
      <c r="N326" s="14"/>
      <c r="O326" s="14"/>
      <c r="P326" s="14"/>
      <c r="Q326" s="14"/>
      <c r="R326" s="14">
        <f t="shared" si="1"/>
        <v>2500302</v>
      </c>
      <c r="S326" s="15">
        <f t="shared" si="2"/>
        <v>0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22.5" customHeight="1">
      <c r="A327" s="9">
        <v>45940.0</v>
      </c>
      <c r="B327" s="11" t="s">
        <v>472</v>
      </c>
      <c r="C327" s="16" t="s">
        <v>246</v>
      </c>
      <c r="D327" s="13" t="s">
        <v>57</v>
      </c>
      <c r="E327" s="13">
        <f t="shared" si="3"/>
        <v>1000000</v>
      </c>
      <c r="F327" s="13">
        <v>1000000.0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5">
        <f t="shared" si="1"/>
        <v>0</v>
      </c>
      <c r="S327" s="14">
        <f t="shared" si="2"/>
        <v>-1000000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22.5" customHeight="1">
      <c r="A328" s="9">
        <v>45944.0</v>
      </c>
      <c r="B328" s="11" t="s">
        <v>539</v>
      </c>
      <c r="C328" s="16" t="s">
        <v>540</v>
      </c>
      <c r="D328" s="13" t="s">
        <v>13</v>
      </c>
      <c r="E328" s="13">
        <f t="shared" si="3"/>
        <v>-93000</v>
      </c>
      <c r="F328" s="14"/>
      <c r="G328" s="14"/>
      <c r="H328" s="13">
        <v>-93000.0</v>
      </c>
      <c r="I328" s="14"/>
      <c r="J328" s="14"/>
      <c r="K328" s="14"/>
      <c r="L328" s="14"/>
      <c r="M328" s="14"/>
      <c r="N328" s="14"/>
      <c r="O328" s="14"/>
      <c r="P328" s="14"/>
      <c r="Q328" s="14"/>
      <c r="R328" s="14">
        <f t="shared" si="1"/>
        <v>93000</v>
      </c>
      <c r="S328" s="15">
        <f t="shared" si="2"/>
        <v>0</v>
      </c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22.5" customHeight="1">
      <c r="A329" s="9">
        <v>45945.0</v>
      </c>
      <c r="B329" s="11" t="s">
        <v>541</v>
      </c>
      <c r="C329" s="16" t="s">
        <v>9</v>
      </c>
      <c r="D329" s="13" t="s">
        <v>156</v>
      </c>
      <c r="E329" s="13">
        <f t="shared" si="3"/>
        <v>-929000</v>
      </c>
      <c r="F329" s="14"/>
      <c r="G329" s="14"/>
      <c r="H329" s="13">
        <v>-929000.0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>
        <f t="shared" si="1"/>
        <v>929000</v>
      </c>
      <c r="S329" s="15">
        <f t="shared" si="2"/>
        <v>0</v>
      </c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22.5" customHeight="1">
      <c r="A330" s="9">
        <v>45945.0</v>
      </c>
      <c r="B330" s="11" t="s">
        <v>542</v>
      </c>
      <c r="C330" s="16" t="s">
        <v>9</v>
      </c>
      <c r="D330" s="13" t="s">
        <v>156</v>
      </c>
      <c r="E330" s="13">
        <f t="shared" si="3"/>
        <v>-1500000</v>
      </c>
      <c r="F330" s="14"/>
      <c r="G330" s="14"/>
      <c r="H330" s="13">
        <v>-1500000.0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>
        <f t="shared" si="1"/>
        <v>1500000</v>
      </c>
      <c r="S330" s="15">
        <f t="shared" si="2"/>
        <v>0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22.5" customHeight="1">
      <c r="A331" s="9">
        <v>45946.0</v>
      </c>
      <c r="B331" s="11" t="s">
        <v>543</v>
      </c>
      <c r="C331" s="16" t="s">
        <v>417</v>
      </c>
      <c r="D331" s="13" t="s">
        <v>28</v>
      </c>
      <c r="E331" s="13">
        <f t="shared" si="3"/>
        <v>-500000</v>
      </c>
      <c r="F331" s="14"/>
      <c r="G331" s="14"/>
      <c r="H331" s="13">
        <v>-500000.0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>
        <f t="shared" si="1"/>
        <v>500000</v>
      </c>
      <c r="S331" s="15">
        <f t="shared" si="2"/>
        <v>0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22.5" customHeight="1">
      <c r="A332" s="9">
        <v>45947.0</v>
      </c>
      <c r="B332" s="11" t="s">
        <v>506</v>
      </c>
      <c r="C332" s="16" t="s">
        <v>9</v>
      </c>
      <c r="D332" s="21" t="s">
        <v>32</v>
      </c>
      <c r="E332" s="13">
        <f t="shared" si="3"/>
        <v>-1553000</v>
      </c>
      <c r="F332" s="14"/>
      <c r="G332" s="14"/>
      <c r="H332" s="13">
        <v>-1553000.0</v>
      </c>
      <c r="I332" s="14"/>
      <c r="J332" s="14"/>
      <c r="K332" s="14"/>
      <c r="L332" s="14"/>
      <c r="M332" s="14"/>
      <c r="N332" s="14"/>
      <c r="O332" s="14"/>
      <c r="P332" s="14"/>
      <c r="Q332" s="14"/>
      <c r="R332" s="14">
        <f t="shared" si="1"/>
        <v>1553000</v>
      </c>
      <c r="S332" s="15">
        <f t="shared" si="2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22.5" customHeight="1">
      <c r="A333" s="9">
        <v>45950.0</v>
      </c>
      <c r="B333" s="11" t="s">
        <v>544</v>
      </c>
      <c r="C333" s="16" t="s">
        <v>9</v>
      </c>
      <c r="D333" s="13" t="s">
        <v>156</v>
      </c>
      <c r="E333" s="13">
        <f t="shared" si="3"/>
        <v>-4271600</v>
      </c>
      <c r="F333" s="14"/>
      <c r="G333" s="14"/>
      <c r="H333" s="13">
        <v>-4271600.0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>
        <f t="shared" si="1"/>
        <v>4271600</v>
      </c>
      <c r="S333" s="15">
        <f t="shared" si="2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22.5" customHeight="1">
      <c r="A334" s="9">
        <v>45950.0</v>
      </c>
      <c r="B334" s="11" t="s">
        <v>545</v>
      </c>
      <c r="C334" s="16" t="s">
        <v>9</v>
      </c>
      <c r="D334" s="13" t="s">
        <v>156</v>
      </c>
      <c r="E334" s="13">
        <f t="shared" si="3"/>
        <v>-1500000</v>
      </c>
      <c r="F334" s="14"/>
      <c r="G334" s="14"/>
      <c r="H334" s="13">
        <v>-1500000.0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>
        <f t="shared" si="1"/>
        <v>1500000</v>
      </c>
      <c r="S334" s="15">
        <f t="shared" si="2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22.5" customHeight="1">
      <c r="A335" s="9">
        <v>45950.0</v>
      </c>
      <c r="B335" s="11" t="s">
        <v>228</v>
      </c>
      <c r="C335" s="16" t="s">
        <v>229</v>
      </c>
      <c r="D335" s="13" t="s">
        <v>58</v>
      </c>
      <c r="E335" s="13">
        <f t="shared" si="3"/>
        <v>5575025</v>
      </c>
      <c r="F335" s="31">
        <v>5575025.0</v>
      </c>
      <c r="G335" s="14"/>
      <c r="H335" s="13"/>
      <c r="I335" s="14"/>
      <c r="J335" s="14"/>
      <c r="K335" s="14"/>
      <c r="L335" s="14"/>
      <c r="M335" s="14"/>
      <c r="N335" s="14"/>
      <c r="O335" s="14"/>
      <c r="P335" s="14"/>
      <c r="Q335" s="14"/>
      <c r="R335" s="15">
        <f t="shared" si="1"/>
        <v>0</v>
      </c>
      <c r="S335" s="14">
        <f t="shared" si="2"/>
        <v>-5575025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22.5" customHeight="1">
      <c r="A336" s="9">
        <v>45950.0</v>
      </c>
      <c r="B336" s="11" t="s">
        <v>546</v>
      </c>
      <c r="C336" s="16" t="s">
        <v>229</v>
      </c>
      <c r="D336" s="13" t="s">
        <v>52</v>
      </c>
      <c r="E336" s="13">
        <f t="shared" si="3"/>
        <v>880000</v>
      </c>
      <c r="F336" s="31">
        <f>1000*(280+600)</f>
        <v>880000</v>
      </c>
      <c r="G336" s="14"/>
      <c r="H336" s="13"/>
      <c r="I336" s="14"/>
      <c r="J336" s="14"/>
      <c r="K336" s="14"/>
      <c r="L336" s="14"/>
      <c r="M336" s="14"/>
      <c r="N336" s="14"/>
      <c r="O336" s="14"/>
      <c r="P336" s="14"/>
      <c r="Q336" s="14"/>
      <c r="R336" s="15">
        <f t="shared" si="1"/>
        <v>0</v>
      </c>
      <c r="S336" s="14">
        <f t="shared" si="2"/>
        <v>-880000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22.5" customHeight="1">
      <c r="A337" s="9">
        <v>45950.0</v>
      </c>
      <c r="B337" s="11" t="s">
        <v>547</v>
      </c>
      <c r="C337" s="16" t="s">
        <v>411</v>
      </c>
      <c r="D337" s="13" t="s">
        <v>56</v>
      </c>
      <c r="E337" s="13">
        <f t="shared" si="3"/>
        <v>5000000</v>
      </c>
      <c r="F337" s="13">
        <v>5000000.0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5">
        <f t="shared" si="1"/>
        <v>0</v>
      </c>
      <c r="S337" s="14">
        <f t="shared" si="2"/>
        <v>-5000000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22.5" customHeight="1">
      <c r="A338" s="9">
        <v>45951.0</v>
      </c>
      <c r="B338" s="11" t="s">
        <v>548</v>
      </c>
      <c r="C338" s="16" t="s">
        <v>62</v>
      </c>
      <c r="D338" s="13" t="s">
        <v>58</v>
      </c>
      <c r="E338" s="13">
        <f t="shared" si="3"/>
        <v>-2293065</v>
      </c>
      <c r="F338" s="13"/>
      <c r="G338" s="14"/>
      <c r="H338" s="13">
        <v>-2293065.0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>
        <f t="shared" si="1"/>
        <v>2293065</v>
      </c>
      <c r="S338" s="15">
        <f t="shared" si="2"/>
        <v>0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22.5" customHeight="1">
      <c r="A339" s="9">
        <v>45951.0</v>
      </c>
      <c r="B339" s="11" t="s">
        <v>549</v>
      </c>
      <c r="C339" s="16" t="s">
        <v>550</v>
      </c>
      <c r="D339" s="13" t="s">
        <v>36</v>
      </c>
      <c r="E339" s="13">
        <f t="shared" si="3"/>
        <v>2500000</v>
      </c>
      <c r="F339" s="13">
        <v>2500000.0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5">
        <f t="shared" si="1"/>
        <v>0</v>
      </c>
      <c r="S339" s="14">
        <f t="shared" si="2"/>
        <v>-2500000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22.5" customHeight="1">
      <c r="A340" s="9">
        <v>45951.0</v>
      </c>
      <c r="B340" s="11" t="s">
        <v>253</v>
      </c>
      <c r="C340" s="16" t="s">
        <v>80</v>
      </c>
      <c r="D340" s="13" t="s">
        <v>51</v>
      </c>
      <c r="E340" s="13">
        <f t="shared" si="3"/>
        <v>0</v>
      </c>
      <c r="F340" s="13">
        <v>-2.0E7</v>
      </c>
      <c r="G340" s="14"/>
      <c r="H340" s="13">
        <v>2.0E7</v>
      </c>
      <c r="I340" s="13"/>
      <c r="J340" s="14"/>
      <c r="K340" s="13"/>
      <c r="L340" s="14"/>
      <c r="M340" s="14"/>
      <c r="N340" s="14"/>
      <c r="O340" s="14"/>
      <c r="P340" s="14"/>
      <c r="Q340" s="14"/>
      <c r="R340" s="15">
        <f t="shared" si="1"/>
        <v>0</v>
      </c>
      <c r="S340" s="15">
        <f t="shared" si="2"/>
        <v>0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22.5" customHeight="1">
      <c r="A341" s="9">
        <v>45951.0</v>
      </c>
      <c r="B341" s="11" t="s">
        <v>551</v>
      </c>
      <c r="C341" s="16" t="s">
        <v>304</v>
      </c>
      <c r="D341" s="13" t="s">
        <v>56</v>
      </c>
      <c r="E341" s="13">
        <f t="shared" si="3"/>
        <v>-3000304</v>
      </c>
      <c r="F341" s="14"/>
      <c r="G341" s="14"/>
      <c r="H341" s="13">
        <v>-3000304.0</v>
      </c>
      <c r="I341" s="13">
        <v>304.0</v>
      </c>
      <c r="J341" s="14"/>
      <c r="K341" s="13">
        <v>3000000.0</v>
      </c>
      <c r="L341" s="14"/>
      <c r="M341" s="14"/>
      <c r="N341" s="14"/>
      <c r="O341" s="14"/>
      <c r="P341" s="14"/>
      <c r="Q341" s="14"/>
      <c r="R341" s="14">
        <f t="shared" si="1"/>
        <v>3000304</v>
      </c>
      <c r="S341" s="15">
        <f t="shared" si="2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22.5" customHeight="1">
      <c r="A342" s="9">
        <v>45953.0</v>
      </c>
      <c r="B342" s="11" t="s">
        <v>552</v>
      </c>
      <c r="C342" s="16" t="s">
        <v>9</v>
      </c>
      <c r="D342" s="13" t="s">
        <v>156</v>
      </c>
      <c r="E342" s="13">
        <f t="shared" si="3"/>
        <v>-294000</v>
      </c>
      <c r="F342" s="14"/>
      <c r="G342" s="14"/>
      <c r="H342" s="14"/>
      <c r="I342" s="14"/>
      <c r="J342" s="13">
        <f>-1000*(203+18+23+50)</f>
        <v>-294000</v>
      </c>
      <c r="K342" s="14"/>
      <c r="L342" s="14"/>
      <c r="M342" s="14"/>
      <c r="N342" s="14"/>
      <c r="O342" s="14"/>
      <c r="P342" s="14"/>
      <c r="Q342" s="14"/>
      <c r="R342" s="14">
        <f t="shared" si="1"/>
        <v>294000</v>
      </c>
      <c r="S342" s="15">
        <f t="shared" si="2"/>
        <v>0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22.5" customHeight="1">
      <c r="A343" s="9">
        <v>45953.0</v>
      </c>
      <c r="B343" s="11" t="s">
        <v>553</v>
      </c>
      <c r="C343" s="16" t="s">
        <v>399</v>
      </c>
      <c r="D343" s="13" t="s">
        <v>13</v>
      </c>
      <c r="E343" s="13">
        <f t="shared" si="3"/>
        <v>300000</v>
      </c>
      <c r="F343" s="14"/>
      <c r="G343" s="14"/>
      <c r="H343" s="13">
        <v>300000.0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5">
        <f t="shared" si="1"/>
        <v>0</v>
      </c>
      <c r="S343" s="14">
        <f t="shared" si="2"/>
        <v>-300000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22.5" customHeight="1">
      <c r="A344" s="9">
        <v>45953.0</v>
      </c>
      <c r="B344" s="11" t="s">
        <v>554</v>
      </c>
      <c r="C344" s="16" t="s">
        <v>9</v>
      </c>
      <c r="D344" s="13" t="s">
        <v>13</v>
      </c>
      <c r="E344" s="13">
        <f t="shared" si="3"/>
        <v>-220000</v>
      </c>
      <c r="F344" s="14"/>
      <c r="G344" s="14"/>
      <c r="H344" s="14"/>
      <c r="I344" s="14"/>
      <c r="J344" s="13">
        <f>-1000*(220)</f>
        <v>-220000</v>
      </c>
      <c r="K344" s="14"/>
      <c r="L344" s="14"/>
      <c r="M344" s="14"/>
      <c r="N344" s="14"/>
      <c r="O344" s="14"/>
      <c r="P344" s="14"/>
      <c r="Q344" s="14"/>
      <c r="R344" s="14">
        <f t="shared" si="1"/>
        <v>220000</v>
      </c>
      <c r="S344" s="15">
        <f t="shared" si="2"/>
        <v>0</v>
      </c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22.5" customHeight="1">
      <c r="A345" s="9">
        <v>45953.0</v>
      </c>
      <c r="B345" s="11" t="s">
        <v>555</v>
      </c>
      <c r="C345" s="12"/>
      <c r="D345" s="13" t="s">
        <v>36</v>
      </c>
      <c r="E345" s="13">
        <f t="shared" si="3"/>
        <v>-2500307</v>
      </c>
      <c r="F345" s="14"/>
      <c r="G345" s="14"/>
      <c r="H345" s="13">
        <v>-2500307.0</v>
      </c>
      <c r="I345" s="13">
        <v>307.0</v>
      </c>
      <c r="J345" s="14"/>
      <c r="K345" s="14"/>
      <c r="L345" s="14"/>
      <c r="M345" s="14"/>
      <c r="N345" s="14"/>
      <c r="O345" s="14"/>
      <c r="P345" s="14"/>
      <c r="Q345" s="14"/>
      <c r="R345" s="14">
        <f t="shared" si="1"/>
        <v>2500307</v>
      </c>
      <c r="S345" s="15">
        <f t="shared" si="2"/>
        <v>0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22.5" customHeight="1">
      <c r="A346" s="9">
        <v>45953.0</v>
      </c>
      <c r="B346" s="11" t="s">
        <v>556</v>
      </c>
      <c r="C346" s="16" t="s">
        <v>426</v>
      </c>
      <c r="D346" s="13" t="s">
        <v>57</v>
      </c>
      <c r="E346" s="13">
        <f t="shared" si="3"/>
        <v>1000000</v>
      </c>
      <c r="F346" s="13">
        <v>1000000.0</v>
      </c>
      <c r="G346" s="14"/>
      <c r="H346" s="13"/>
      <c r="I346" s="13"/>
      <c r="J346" s="14"/>
      <c r="K346" s="14"/>
      <c r="L346" s="14"/>
      <c r="M346" s="14"/>
      <c r="N346" s="14"/>
      <c r="O346" s="14"/>
      <c r="P346" s="14"/>
      <c r="Q346" s="14"/>
      <c r="R346" s="15">
        <f t="shared" si="1"/>
        <v>0</v>
      </c>
      <c r="S346" s="14">
        <f t="shared" si="2"/>
        <v>-1000000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22.5" customHeight="1">
      <c r="A347" s="9">
        <v>45955.0</v>
      </c>
      <c r="B347" s="11" t="s">
        <v>557</v>
      </c>
      <c r="C347" s="16" t="s">
        <v>9</v>
      </c>
      <c r="D347" s="13" t="s">
        <v>13</v>
      </c>
      <c r="E347" s="13">
        <f t="shared" si="3"/>
        <v>-344000</v>
      </c>
      <c r="F347" s="14"/>
      <c r="G347" s="14"/>
      <c r="H347" s="14"/>
      <c r="I347" s="14"/>
      <c r="J347" s="13">
        <v>-344000.0</v>
      </c>
      <c r="K347" s="14"/>
      <c r="L347" s="14"/>
      <c r="M347" s="14"/>
      <c r="N347" s="14"/>
      <c r="O347" s="14"/>
      <c r="P347" s="14"/>
      <c r="Q347" s="14"/>
      <c r="R347" s="14">
        <f t="shared" si="1"/>
        <v>344000</v>
      </c>
      <c r="S347" s="15">
        <f t="shared" si="2"/>
        <v>0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22.5" customHeight="1">
      <c r="A348" s="9">
        <v>45958.0</v>
      </c>
      <c r="B348" s="11" t="s">
        <v>558</v>
      </c>
      <c r="C348" s="16" t="s">
        <v>9</v>
      </c>
      <c r="D348" s="13" t="s">
        <v>156</v>
      </c>
      <c r="E348" s="13">
        <f t="shared" si="3"/>
        <v>-1019000</v>
      </c>
      <c r="F348" s="14"/>
      <c r="G348" s="14"/>
      <c r="H348" s="13">
        <v>-1019000.0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>
        <f t="shared" si="1"/>
        <v>1019000</v>
      </c>
      <c r="S348" s="15">
        <f t="shared" si="2"/>
        <v>0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22.5" customHeight="1">
      <c r="A349" s="9">
        <v>45958.0</v>
      </c>
      <c r="B349" s="11" t="s">
        <v>559</v>
      </c>
      <c r="C349" s="16" t="s">
        <v>9</v>
      </c>
      <c r="D349" s="21" t="s">
        <v>160</v>
      </c>
      <c r="E349" s="13">
        <f t="shared" si="3"/>
        <v>0</v>
      </c>
      <c r="F349" s="14"/>
      <c r="G349" s="14"/>
      <c r="H349" s="13">
        <v>-858000.0</v>
      </c>
      <c r="I349" s="14"/>
      <c r="J349" s="13">
        <v>858000.0</v>
      </c>
      <c r="K349" s="14"/>
      <c r="L349" s="14"/>
      <c r="M349" s="14"/>
      <c r="N349" s="14"/>
      <c r="O349" s="14"/>
      <c r="P349" s="14"/>
      <c r="Q349" s="14"/>
      <c r="R349" s="15">
        <f t="shared" si="1"/>
        <v>0</v>
      </c>
      <c r="S349" s="15">
        <f t="shared" si="2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22.5" customHeight="1">
      <c r="A350" s="9">
        <v>45959.0</v>
      </c>
      <c r="B350" s="11" t="s">
        <v>560</v>
      </c>
      <c r="C350" s="16" t="s">
        <v>74</v>
      </c>
      <c r="D350" s="13" t="s">
        <v>27</v>
      </c>
      <c r="E350" s="13">
        <f t="shared" si="3"/>
        <v>-5000304</v>
      </c>
      <c r="F350" s="14"/>
      <c r="G350" s="14"/>
      <c r="H350" s="13">
        <v>-5000304.0</v>
      </c>
      <c r="I350" s="13">
        <v>304.0</v>
      </c>
      <c r="J350" s="14"/>
      <c r="K350" s="14"/>
      <c r="L350" s="14"/>
      <c r="M350" s="14"/>
      <c r="N350" s="14"/>
      <c r="O350" s="14"/>
      <c r="P350" s="13"/>
      <c r="Q350" s="14">
        <v>5000000.0</v>
      </c>
      <c r="R350" s="14">
        <f t="shared" si="1"/>
        <v>5000304</v>
      </c>
      <c r="S350" s="15">
        <f t="shared" si="2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22.5" customHeight="1">
      <c r="A351" s="9">
        <v>45960.0</v>
      </c>
      <c r="B351" s="11" t="s">
        <v>561</v>
      </c>
      <c r="C351" s="16" t="s">
        <v>318</v>
      </c>
      <c r="D351" s="13" t="s">
        <v>28</v>
      </c>
      <c r="E351" s="13">
        <f t="shared" si="3"/>
        <v>-250000</v>
      </c>
      <c r="F351" s="14"/>
      <c r="G351" s="14"/>
      <c r="H351" s="13">
        <v>-250000.0</v>
      </c>
      <c r="I351" s="14"/>
      <c r="J351" s="14"/>
      <c r="K351" s="14"/>
      <c r="L351" s="14"/>
      <c r="M351" s="14"/>
      <c r="N351" s="14"/>
      <c r="O351" s="13">
        <v>250000.0</v>
      </c>
      <c r="P351" s="14"/>
      <c r="Q351" s="14"/>
      <c r="R351" s="15"/>
      <c r="S351" s="15">
        <f t="shared" si="2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22.5" customHeight="1">
      <c r="A352" s="9">
        <v>45960.0</v>
      </c>
      <c r="B352" s="11" t="s">
        <v>562</v>
      </c>
      <c r="C352" s="16" t="s">
        <v>74</v>
      </c>
      <c r="D352" s="13" t="s">
        <v>517</v>
      </c>
      <c r="E352" s="13">
        <f t="shared" si="3"/>
        <v>-350000</v>
      </c>
      <c r="F352" s="14"/>
      <c r="G352" s="14"/>
      <c r="H352" s="13">
        <v>-350000.0</v>
      </c>
      <c r="I352" s="14"/>
      <c r="J352" s="14"/>
      <c r="K352" s="14"/>
      <c r="L352" s="14"/>
      <c r="M352" s="14"/>
      <c r="N352" s="14"/>
      <c r="O352" s="14"/>
      <c r="P352" s="13">
        <v>350000.0</v>
      </c>
      <c r="Q352" s="14"/>
      <c r="R352" s="15"/>
      <c r="S352" s="15">
        <f t="shared" si="2"/>
        <v>0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22.5" customHeight="1">
      <c r="A353" s="9">
        <v>45960.0</v>
      </c>
      <c r="B353" s="11" t="s">
        <v>563</v>
      </c>
      <c r="C353" s="16" t="s">
        <v>564</v>
      </c>
      <c r="D353" s="13" t="s">
        <v>517</v>
      </c>
      <c r="E353" s="13">
        <f t="shared" si="3"/>
        <v>-500202</v>
      </c>
      <c r="F353" s="14"/>
      <c r="G353" s="14"/>
      <c r="H353" s="13">
        <v>-500202.0</v>
      </c>
      <c r="I353" s="13">
        <v>202.0</v>
      </c>
      <c r="J353" s="14"/>
      <c r="K353" s="14"/>
      <c r="L353" s="14"/>
      <c r="M353" s="14"/>
      <c r="N353" s="14"/>
      <c r="O353" s="14"/>
      <c r="P353" s="13">
        <v>500000.0</v>
      </c>
      <c r="Q353" s="14"/>
      <c r="R353" s="15"/>
      <c r="S353" s="15">
        <f t="shared" si="2"/>
        <v>0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22.5" customHeight="1">
      <c r="A354" s="9">
        <v>45961.0</v>
      </c>
      <c r="B354" s="11" t="s">
        <v>565</v>
      </c>
      <c r="C354" s="16" t="s">
        <v>566</v>
      </c>
      <c r="D354" s="13" t="s">
        <v>36</v>
      </c>
      <c r="E354" s="13">
        <f t="shared" si="3"/>
        <v>2695000</v>
      </c>
      <c r="F354" s="13">
        <v>2695000.0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5"/>
      <c r="S354" s="14">
        <f t="shared" si="2"/>
        <v>-2695000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22.5" customHeight="1">
      <c r="A355" s="32">
        <v>45963.0</v>
      </c>
      <c r="B355" s="33" t="s">
        <v>467</v>
      </c>
      <c r="C355" s="34" t="s">
        <v>9</v>
      </c>
      <c r="D355" s="35" t="s">
        <v>25</v>
      </c>
      <c r="E355" s="13">
        <f t="shared" si="3"/>
        <v>-1750000</v>
      </c>
      <c r="F355" s="36"/>
      <c r="G355" s="36"/>
      <c r="H355" s="35">
        <v>-1750000.0</v>
      </c>
      <c r="I355" s="36"/>
      <c r="J355" s="35"/>
      <c r="K355" s="36"/>
      <c r="L355" s="36"/>
      <c r="M355" s="36"/>
      <c r="N355" s="36"/>
      <c r="O355" s="36"/>
      <c r="P355" s="36"/>
      <c r="Q355" s="36"/>
      <c r="R355" s="15"/>
      <c r="S355" s="15">
        <f t="shared" si="2"/>
        <v>0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22.5" customHeight="1">
      <c r="A356" s="9">
        <v>45963.0</v>
      </c>
      <c r="B356" s="11" t="s">
        <v>567</v>
      </c>
      <c r="C356" s="16" t="s">
        <v>456</v>
      </c>
      <c r="D356" s="13" t="s">
        <v>158</v>
      </c>
      <c r="E356" s="13">
        <f t="shared" si="3"/>
        <v>-317000</v>
      </c>
      <c r="F356" s="14"/>
      <c r="G356" s="14"/>
      <c r="H356" s="13"/>
      <c r="I356" s="14"/>
      <c r="J356" s="13">
        <v>-317000.0</v>
      </c>
      <c r="K356" s="14"/>
      <c r="L356" s="14"/>
      <c r="M356" s="14"/>
      <c r="N356" s="13">
        <v>317000.0</v>
      </c>
      <c r="O356" s="14"/>
      <c r="P356" s="14"/>
      <c r="Q356" s="14"/>
      <c r="R356" s="15"/>
      <c r="S356" s="15">
        <f t="shared" si="2"/>
        <v>0</v>
      </c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22.5" customHeight="1">
      <c r="A357" s="9">
        <v>45964.0</v>
      </c>
      <c r="B357" s="11" t="s">
        <v>252</v>
      </c>
      <c r="C357" s="16" t="s">
        <v>9</v>
      </c>
      <c r="D357" s="21" t="s">
        <v>160</v>
      </c>
      <c r="E357" s="13">
        <f t="shared" si="3"/>
        <v>0</v>
      </c>
      <c r="F357" s="14"/>
      <c r="G357" s="14"/>
      <c r="H357" s="13">
        <v>-2044000.0</v>
      </c>
      <c r="I357" s="14"/>
      <c r="J357" s="13">
        <v>2044000.0</v>
      </c>
      <c r="K357" s="14"/>
      <c r="L357" s="14"/>
      <c r="M357" s="14"/>
      <c r="N357" s="14"/>
      <c r="O357" s="14"/>
      <c r="P357" s="14"/>
      <c r="Q357" s="14"/>
      <c r="R357" s="15"/>
      <c r="S357" s="15">
        <f t="shared" si="2"/>
        <v>0</v>
      </c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22.5" customHeight="1">
      <c r="A358" s="9">
        <v>45965.0</v>
      </c>
      <c r="B358" s="11" t="s">
        <v>568</v>
      </c>
      <c r="C358" s="16" t="s">
        <v>237</v>
      </c>
      <c r="D358" s="13" t="s">
        <v>36</v>
      </c>
      <c r="E358" s="13">
        <f t="shared" si="3"/>
        <v>-500336</v>
      </c>
      <c r="F358" s="14"/>
      <c r="G358" s="14"/>
      <c r="H358" s="13">
        <v>-500336.0</v>
      </c>
      <c r="I358" s="13">
        <v>336.0</v>
      </c>
      <c r="J358" s="14"/>
      <c r="K358" s="14"/>
      <c r="L358" s="14"/>
      <c r="M358" s="14"/>
      <c r="N358" s="14"/>
      <c r="O358" s="14"/>
      <c r="P358" s="14"/>
      <c r="Q358" s="14"/>
      <c r="R358" s="15"/>
      <c r="S358" s="15">
        <f t="shared" si="2"/>
        <v>0</v>
      </c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22.5" customHeight="1">
      <c r="A359" s="9">
        <v>45965.0</v>
      </c>
      <c r="B359" s="11" t="s">
        <v>569</v>
      </c>
      <c r="C359" s="16" t="s">
        <v>9</v>
      </c>
      <c r="D359" s="21" t="s">
        <v>160</v>
      </c>
      <c r="E359" s="13">
        <f t="shared" si="3"/>
        <v>0</v>
      </c>
      <c r="F359" s="14"/>
      <c r="G359" s="14"/>
      <c r="H359" s="13">
        <v>-317000.0</v>
      </c>
      <c r="I359" s="14"/>
      <c r="J359" s="13">
        <v>317000.0</v>
      </c>
      <c r="K359" s="14"/>
      <c r="L359" s="14"/>
      <c r="M359" s="14"/>
      <c r="N359" s="14"/>
      <c r="O359" s="14"/>
      <c r="P359" s="14"/>
      <c r="Q359" s="14"/>
      <c r="R359" s="15"/>
      <c r="S359" s="15">
        <f t="shared" si="2"/>
        <v>0</v>
      </c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22.5" customHeight="1">
      <c r="A360" s="9">
        <v>45965.0</v>
      </c>
      <c r="B360" s="11" t="s">
        <v>51</v>
      </c>
      <c r="C360" s="16" t="s">
        <v>80</v>
      </c>
      <c r="D360" s="13" t="s">
        <v>51</v>
      </c>
      <c r="E360" s="13">
        <f t="shared" si="3"/>
        <v>0</v>
      </c>
      <c r="F360" s="13">
        <v>-2.0E7</v>
      </c>
      <c r="G360" s="14"/>
      <c r="H360" s="13">
        <v>2.0E7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5"/>
      <c r="S360" s="15">
        <f t="shared" si="2"/>
        <v>0</v>
      </c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22.5" customHeight="1">
      <c r="A361" s="9">
        <v>45967.0</v>
      </c>
      <c r="B361" s="11" t="s">
        <v>570</v>
      </c>
      <c r="C361" s="16" t="s">
        <v>456</v>
      </c>
      <c r="D361" s="13" t="s">
        <v>28</v>
      </c>
      <c r="E361" s="13">
        <f t="shared" si="3"/>
        <v>-130000</v>
      </c>
      <c r="F361" s="14"/>
      <c r="G361" s="14"/>
      <c r="H361" s="13"/>
      <c r="I361" s="14"/>
      <c r="J361" s="13">
        <v>-130000.0</v>
      </c>
      <c r="K361" s="14"/>
      <c r="L361" s="14"/>
      <c r="M361" s="13">
        <v>130000.0</v>
      </c>
      <c r="N361" s="14"/>
      <c r="O361" s="14"/>
      <c r="P361" s="14"/>
      <c r="Q361" s="14"/>
      <c r="R361" s="15"/>
      <c r="S361" s="15">
        <f t="shared" si="2"/>
        <v>0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22.5" customHeight="1">
      <c r="A362" s="9">
        <v>45967.0</v>
      </c>
      <c r="B362" s="11" t="s">
        <v>571</v>
      </c>
      <c r="C362" s="16" t="s">
        <v>81</v>
      </c>
      <c r="D362" s="13" t="s">
        <v>27</v>
      </c>
      <c r="E362" s="13">
        <f t="shared" si="3"/>
        <v>-4000316</v>
      </c>
      <c r="F362" s="14"/>
      <c r="G362" s="14"/>
      <c r="H362" s="13">
        <v>-4000316.0</v>
      </c>
      <c r="I362" s="13">
        <v>316.0</v>
      </c>
      <c r="J362" s="14"/>
      <c r="K362" s="14"/>
      <c r="L362" s="14"/>
      <c r="M362" s="14"/>
      <c r="N362" s="14"/>
      <c r="O362" s="14"/>
      <c r="P362" s="14"/>
      <c r="Q362" s="14">
        <v>4000000.0</v>
      </c>
      <c r="R362" s="15"/>
      <c r="S362" s="15">
        <f t="shared" si="2"/>
        <v>0</v>
      </c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ht="22.5" customHeight="1">
      <c r="A363" s="9">
        <v>45968.0</v>
      </c>
      <c r="B363" s="11" t="s">
        <v>572</v>
      </c>
      <c r="C363" s="16" t="s">
        <v>9</v>
      </c>
      <c r="D363" s="13" t="s">
        <v>156</v>
      </c>
      <c r="E363" s="13">
        <f t="shared" si="3"/>
        <v>0</v>
      </c>
      <c r="F363" s="14"/>
      <c r="G363" s="14"/>
      <c r="H363" s="13">
        <v>-1324000.0</v>
      </c>
      <c r="I363" s="14"/>
      <c r="J363" s="13">
        <v>1324000.0</v>
      </c>
      <c r="K363" s="14"/>
      <c r="L363" s="14"/>
      <c r="M363" s="14"/>
      <c r="N363" s="14"/>
      <c r="O363" s="14"/>
      <c r="P363" s="14"/>
      <c r="Q363" s="14"/>
      <c r="R363" s="15"/>
      <c r="S363" s="15">
        <f t="shared" si="2"/>
        <v>0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ht="22.5" customHeight="1">
      <c r="A364" s="9">
        <v>45968.0</v>
      </c>
      <c r="B364" s="11" t="s">
        <v>573</v>
      </c>
      <c r="C364" s="16" t="s">
        <v>502</v>
      </c>
      <c r="D364" s="13" t="s">
        <v>28</v>
      </c>
      <c r="E364" s="13">
        <f t="shared" si="3"/>
        <v>-250304</v>
      </c>
      <c r="F364" s="14"/>
      <c r="G364" s="14"/>
      <c r="H364" s="13">
        <v>-250304.0</v>
      </c>
      <c r="I364" s="13">
        <v>304.0</v>
      </c>
      <c r="J364" s="14"/>
      <c r="K364" s="14"/>
      <c r="L364" s="14"/>
      <c r="M364" s="14"/>
      <c r="N364" s="14"/>
      <c r="O364" s="14"/>
      <c r="P364" s="14"/>
      <c r="Q364" s="14"/>
      <c r="R364" s="15"/>
      <c r="S364" s="15">
        <f t="shared" si="2"/>
        <v>0</v>
      </c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ht="22.5" customHeight="1">
      <c r="A365" s="9">
        <v>45969.0</v>
      </c>
      <c r="B365" s="11" t="s">
        <v>574</v>
      </c>
      <c r="C365" s="16" t="s">
        <v>456</v>
      </c>
      <c r="D365" s="13" t="s">
        <v>158</v>
      </c>
      <c r="E365" s="13">
        <f t="shared" si="3"/>
        <v>-173000</v>
      </c>
      <c r="F365" s="14"/>
      <c r="G365" s="14"/>
      <c r="H365" s="13"/>
      <c r="I365" s="14"/>
      <c r="J365" s="13">
        <f>-(113000+60000)</f>
        <v>-173000</v>
      </c>
      <c r="K365" s="14"/>
      <c r="L365" s="14"/>
      <c r="M365" s="13"/>
      <c r="N365" s="13">
        <f>(113000+60000)</f>
        <v>173000</v>
      </c>
      <c r="O365" s="14"/>
      <c r="P365" s="14"/>
      <c r="Q365" s="14"/>
      <c r="R365" s="15"/>
      <c r="S365" s="15">
        <f t="shared" si="2"/>
        <v>0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22.5" customHeight="1">
      <c r="A366" s="9">
        <v>45970.0</v>
      </c>
      <c r="B366" s="11" t="s">
        <v>575</v>
      </c>
      <c r="C366" s="16" t="s">
        <v>81</v>
      </c>
      <c r="D366" s="13" t="s">
        <v>27</v>
      </c>
      <c r="E366" s="13">
        <f t="shared" si="3"/>
        <v>4000000</v>
      </c>
      <c r="F366" s="14"/>
      <c r="G366" s="14"/>
      <c r="H366" s="13">
        <v>4000000.0</v>
      </c>
      <c r="I366" s="14"/>
      <c r="J366" s="14"/>
      <c r="K366" s="14"/>
      <c r="L366" s="14"/>
      <c r="M366" s="14"/>
      <c r="N366" s="14"/>
      <c r="O366" s="14"/>
      <c r="P366" s="14"/>
      <c r="Q366" s="14">
        <v>-4000000.0</v>
      </c>
      <c r="R366" s="15"/>
      <c r="S366" s="14">
        <f t="shared" si="2"/>
        <v>-4000000</v>
      </c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22.5" customHeight="1">
      <c r="A367" s="9">
        <v>45972.0</v>
      </c>
      <c r="B367" s="11" t="s">
        <v>572</v>
      </c>
      <c r="C367" s="16" t="s">
        <v>9</v>
      </c>
      <c r="D367" s="13" t="s">
        <v>156</v>
      </c>
      <c r="E367" s="13">
        <f t="shared" si="3"/>
        <v>0</v>
      </c>
      <c r="F367" s="14"/>
      <c r="G367" s="14"/>
      <c r="H367" s="13">
        <v>-2500000.0</v>
      </c>
      <c r="I367" s="14"/>
      <c r="J367" s="13">
        <v>2500000.0</v>
      </c>
      <c r="K367" s="14"/>
      <c r="L367" s="14"/>
      <c r="M367" s="13"/>
      <c r="N367" s="14"/>
      <c r="O367" s="14"/>
      <c r="P367" s="14"/>
      <c r="Q367" s="14"/>
      <c r="R367" s="15"/>
      <c r="S367" s="15">
        <f t="shared" si="2"/>
        <v>0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22.5" customHeight="1">
      <c r="A368" s="9">
        <v>45972.0</v>
      </c>
      <c r="B368" s="11" t="s">
        <v>576</v>
      </c>
      <c r="C368" s="16" t="s">
        <v>456</v>
      </c>
      <c r="D368" s="13" t="s">
        <v>156</v>
      </c>
      <c r="E368" s="13">
        <f t="shared" si="3"/>
        <v>-203000</v>
      </c>
      <c r="F368" s="14"/>
      <c r="G368" s="14"/>
      <c r="H368" s="13"/>
      <c r="I368" s="14"/>
      <c r="J368" s="13">
        <v>-203000.0</v>
      </c>
      <c r="K368" s="14"/>
      <c r="L368" s="14"/>
      <c r="M368" s="13"/>
      <c r="N368" s="14"/>
      <c r="O368" s="14"/>
      <c r="P368" s="14"/>
      <c r="Q368" s="14"/>
      <c r="R368" s="15"/>
      <c r="S368" s="15">
        <f t="shared" si="2"/>
        <v>0</v>
      </c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22.5" customHeight="1">
      <c r="A369" s="9">
        <v>45972.0</v>
      </c>
      <c r="B369" s="11" t="s">
        <v>577</v>
      </c>
      <c r="C369" s="16" t="s">
        <v>9</v>
      </c>
      <c r="D369" s="21" t="s">
        <v>160</v>
      </c>
      <c r="E369" s="13">
        <f t="shared" si="3"/>
        <v>0</v>
      </c>
      <c r="F369" s="14"/>
      <c r="G369" s="14"/>
      <c r="H369" s="13">
        <v>-506000.0</v>
      </c>
      <c r="I369" s="14"/>
      <c r="J369" s="13">
        <v>506000.0</v>
      </c>
      <c r="K369" s="14"/>
      <c r="L369" s="14"/>
      <c r="M369" s="13"/>
      <c r="N369" s="14"/>
      <c r="O369" s="14"/>
      <c r="P369" s="14"/>
      <c r="Q369" s="14"/>
      <c r="R369" s="15"/>
      <c r="S369" s="15">
        <f t="shared" si="2"/>
        <v>0</v>
      </c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ht="22.5" customHeight="1">
      <c r="A370" s="9">
        <v>45976.0</v>
      </c>
      <c r="B370" s="11" t="s">
        <v>578</v>
      </c>
      <c r="C370" s="16" t="s">
        <v>579</v>
      </c>
      <c r="D370" s="13" t="s">
        <v>1</v>
      </c>
      <c r="E370" s="13">
        <f t="shared" si="3"/>
        <v>-500000</v>
      </c>
      <c r="F370" s="14"/>
      <c r="G370" s="14"/>
      <c r="H370" s="13">
        <v>-500000.0</v>
      </c>
      <c r="I370" s="14"/>
      <c r="J370" s="14"/>
      <c r="K370" s="14"/>
      <c r="L370" s="14"/>
      <c r="M370" s="13">
        <v>500000.0</v>
      </c>
      <c r="N370" s="14"/>
      <c r="O370" s="14"/>
      <c r="P370" s="14"/>
      <c r="Q370" s="14"/>
      <c r="R370" s="15"/>
      <c r="S370" s="15">
        <f t="shared" si="2"/>
        <v>0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ht="22.5" customHeight="1">
      <c r="A371" s="9">
        <v>45980.0</v>
      </c>
      <c r="B371" s="11" t="s">
        <v>576</v>
      </c>
      <c r="C371" s="16" t="s">
        <v>456</v>
      </c>
      <c r="D371" s="13" t="s">
        <v>156</v>
      </c>
      <c r="E371" s="13">
        <f t="shared" si="3"/>
        <v>-103000</v>
      </c>
      <c r="F371" s="31"/>
      <c r="G371" s="14"/>
      <c r="H371" s="13"/>
      <c r="I371" s="14"/>
      <c r="J371" s="13">
        <v>-103000.0</v>
      </c>
      <c r="K371" s="14"/>
      <c r="L371" s="14"/>
      <c r="M371" s="14"/>
      <c r="N371" s="14"/>
      <c r="O371" s="14"/>
      <c r="P371" s="14"/>
      <c r="Q371" s="14"/>
      <c r="R371" s="15"/>
      <c r="S371" s="15">
        <f t="shared" si="2"/>
        <v>0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ht="22.5" customHeight="1">
      <c r="A372" s="9">
        <v>45980.0</v>
      </c>
      <c r="B372" s="11" t="s">
        <v>580</v>
      </c>
      <c r="C372" s="16" t="s">
        <v>456</v>
      </c>
      <c r="D372" s="13" t="s">
        <v>158</v>
      </c>
      <c r="E372" s="13">
        <f t="shared" si="3"/>
        <v>-227000</v>
      </c>
      <c r="F372" s="31"/>
      <c r="G372" s="14"/>
      <c r="H372" s="13"/>
      <c r="I372" s="14"/>
      <c r="J372" s="13">
        <f>-(60000+32000+45000+72000+18000)</f>
        <v>-227000</v>
      </c>
      <c r="K372" s="14"/>
      <c r="L372" s="14"/>
      <c r="M372" s="14"/>
      <c r="N372" s="14">
        <f>(60000+32000+45000+72000+18000)</f>
        <v>227000</v>
      </c>
      <c r="O372" s="14"/>
      <c r="P372" s="14"/>
      <c r="Q372" s="14"/>
      <c r="R372" s="15"/>
      <c r="S372" s="15">
        <f t="shared" si="2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ht="22.5" customHeight="1">
      <c r="A373" s="9">
        <v>45980.0</v>
      </c>
      <c r="B373" s="11" t="s">
        <v>581</v>
      </c>
      <c r="C373" s="16" t="s">
        <v>456</v>
      </c>
      <c r="D373" s="13" t="s">
        <v>158</v>
      </c>
      <c r="E373" s="13">
        <f t="shared" si="3"/>
        <v>-84000</v>
      </c>
      <c r="F373" s="31"/>
      <c r="G373" s="14"/>
      <c r="H373" s="13"/>
      <c r="I373" s="14"/>
      <c r="J373" s="13">
        <v>-84000.0</v>
      </c>
      <c r="K373" s="14"/>
      <c r="L373" s="14"/>
      <c r="M373" s="14"/>
      <c r="N373" s="13">
        <v>84000.0</v>
      </c>
      <c r="O373" s="14"/>
      <c r="P373" s="14"/>
      <c r="Q373" s="14"/>
      <c r="R373" s="15"/>
      <c r="S373" s="15">
        <f t="shared" si="2"/>
        <v>0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ht="22.5" customHeight="1">
      <c r="A374" s="9">
        <v>45980.0</v>
      </c>
      <c r="B374" s="11" t="s">
        <v>582</v>
      </c>
      <c r="C374" s="16" t="s">
        <v>583</v>
      </c>
      <c r="D374" s="13" t="s">
        <v>36</v>
      </c>
      <c r="E374" s="13">
        <f t="shared" si="3"/>
        <v>-2695000</v>
      </c>
      <c r="F374" s="14"/>
      <c r="G374" s="14"/>
      <c r="H374" s="13">
        <v>-2695000.0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5"/>
      <c r="S374" s="15">
        <f t="shared" si="2"/>
        <v>0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ht="22.5" customHeight="1">
      <c r="A375" s="9">
        <v>45981.0</v>
      </c>
      <c r="B375" s="11" t="s">
        <v>434</v>
      </c>
      <c r="C375" s="12" t="s">
        <v>82</v>
      </c>
      <c r="D375" s="18" t="s">
        <v>27</v>
      </c>
      <c r="E375" s="13">
        <f t="shared" si="3"/>
        <v>200000</v>
      </c>
      <c r="F375" s="13">
        <v>200000.0</v>
      </c>
      <c r="G375" s="14"/>
      <c r="H375" s="13"/>
      <c r="I375" s="14"/>
      <c r="J375" s="14"/>
      <c r="K375" s="14"/>
      <c r="L375" s="14"/>
      <c r="M375" s="14"/>
      <c r="N375" s="14"/>
      <c r="O375" s="14"/>
      <c r="P375" s="14"/>
      <c r="Q375" s="14"/>
      <c r="R375" s="15"/>
      <c r="S375" s="14">
        <f t="shared" si="2"/>
        <v>-200000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ht="22.5" customHeight="1">
      <c r="A376" s="9">
        <v>45981.0</v>
      </c>
      <c r="B376" s="11" t="s">
        <v>584</v>
      </c>
      <c r="C376" s="16" t="s">
        <v>229</v>
      </c>
      <c r="D376" s="13" t="s">
        <v>58</v>
      </c>
      <c r="E376" s="13">
        <f t="shared" si="3"/>
        <v>9417650</v>
      </c>
      <c r="F376" s="31">
        <v>9417650.0</v>
      </c>
      <c r="G376" s="14"/>
      <c r="H376" s="13"/>
      <c r="I376" s="14"/>
      <c r="J376" s="14"/>
      <c r="K376" s="14"/>
      <c r="L376" s="14"/>
      <c r="M376" s="14"/>
      <c r="N376" s="14"/>
      <c r="O376" s="14"/>
      <c r="P376" s="14"/>
      <c r="Q376" s="14"/>
      <c r="R376" s="15"/>
      <c r="S376" s="14">
        <f t="shared" si="2"/>
        <v>-9417650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ht="22.5" customHeight="1">
      <c r="A377" s="9">
        <v>45981.0</v>
      </c>
      <c r="B377" s="11" t="s">
        <v>585</v>
      </c>
      <c r="C377" s="16" t="s">
        <v>62</v>
      </c>
      <c r="D377" s="13" t="s">
        <v>58</v>
      </c>
      <c r="E377" s="13">
        <f t="shared" si="3"/>
        <v>-6913890</v>
      </c>
      <c r="F377" s="31">
        <v>-6913890.0</v>
      </c>
      <c r="G377" s="14"/>
      <c r="H377" s="13"/>
      <c r="I377" s="14"/>
      <c r="J377" s="14"/>
      <c r="K377" s="14"/>
      <c r="L377" s="14"/>
      <c r="M377" s="14"/>
      <c r="N377" s="14"/>
      <c r="O377" s="14"/>
      <c r="P377" s="14"/>
      <c r="Q377" s="14"/>
      <c r="R377" s="15"/>
      <c r="S377" s="15">
        <f t="shared" si="2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ht="22.5" customHeight="1">
      <c r="A378" s="9">
        <v>45982.0</v>
      </c>
      <c r="B378" s="11" t="s">
        <v>586</v>
      </c>
      <c r="C378" s="16" t="s">
        <v>456</v>
      </c>
      <c r="D378" s="13" t="s">
        <v>156</v>
      </c>
      <c r="E378" s="13">
        <f t="shared" si="3"/>
        <v>-103000</v>
      </c>
      <c r="F378" s="14"/>
      <c r="G378" s="14"/>
      <c r="H378" s="13"/>
      <c r="I378" s="13"/>
      <c r="J378" s="13">
        <v>-103000.0</v>
      </c>
      <c r="K378" s="13"/>
      <c r="L378" s="14"/>
      <c r="M378" s="14"/>
      <c r="N378" s="14"/>
      <c r="O378" s="14"/>
      <c r="P378" s="14"/>
      <c r="Q378" s="14"/>
      <c r="R378" s="15"/>
      <c r="S378" s="15">
        <f t="shared" si="2"/>
        <v>0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ht="22.5" customHeight="1">
      <c r="A379" s="9">
        <v>45982.0</v>
      </c>
      <c r="B379" s="11" t="s">
        <v>587</v>
      </c>
      <c r="C379" s="16" t="s">
        <v>456</v>
      </c>
      <c r="D379" s="13" t="s">
        <v>158</v>
      </c>
      <c r="E379" s="13">
        <f t="shared" si="3"/>
        <v>-203000</v>
      </c>
      <c r="F379" s="14"/>
      <c r="G379" s="14"/>
      <c r="H379" s="13"/>
      <c r="I379" s="13"/>
      <c r="J379" s="14">
        <f>-(118000+20000+30000+20000+15000)</f>
        <v>-203000</v>
      </c>
      <c r="K379" s="13"/>
      <c r="L379" s="14"/>
      <c r="M379" s="14"/>
      <c r="N379" s="14">
        <f>(118000+20000+30000+20000+15000)</f>
        <v>203000</v>
      </c>
      <c r="O379" s="14"/>
      <c r="P379" s="14"/>
      <c r="Q379" s="14"/>
      <c r="R379" s="15"/>
      <c r="S379" s="15">
        <f t="shared" si="2"/>
        <v>0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ht="22.5" customHeight="1">
      <c r="A380" s="9">
        <v>45982.0</v>
      </c>
      <c r="B380" s="11" t="s">
        <v>588</v>
      </c>
      <c r="C380" s="16" t="s">
        <v>83</v>
      </c>
      <c r="D380" s="13" t="s">
        <v>27</v>
      </c>
      <c r="E380" s="13">
        <f t="shared" si="3"/>
        <v>-800000</v>
      </c>
      <c r="F380" s="14"/>
      <c r="G380" s="14"/>
      <c r="H380" s="13">
        <v>-800000.0</v>
      </c>
      <c r="I380" s="14"/>
      <c r="J380" s="14"/>
      <c r="K380" s="14"/>
      <c r="L380" s="14"/>
      <c r="M380" s="14"/>
      <c r="N380" s="14"/>
      <c r="O380" s="14"/>
      <c r="P380" s="14"/>
      <c r="Q380" s="13">
        <v>800000.0</v>
      </c>
      <c r="R380" s="15"/>
      <c r="S380" s="15">
        <f t="shared" si="2"/>
        <v>0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ht="22.5" customHeight="1">
      <c r="A381" s="9">
        <v>45982.0</v>
      </c>
      <c r="B381" s="11" t="s">
        <v>252</v>
      </c>
      <c r="C381" s="16" t="s">
        <v>9</v>
      </c>
      <c r="D381" s="21" t="s">
        <v>160</v>
      </c>
      <c r="E381" s="13">
        <f t="shared" si="3"/>
        <v>0</v>
      </c>
      <c r="F381" s="14"/>
      <c r="G381" s="14"/>
      <c r="H381" s="13">
        <v>-414000.0</v>
      </c>
      <c r="I381" s="14"/>
      <c r="J381" s="13">
        <v>414000.0</v>
      </c>
      <c r="K381" s="14"/>
      <c r="L381" s="14"/>
      <c r="M381" s="14"/>
      <c r="N381" s="14"/>
      <c r="O381" s="14"/>
      <c r="P381" s="14"/>
      <c r="Q381" s="14"/>
      <c r="R381" s="15"/>
      <c r="S381" s="15">
        <f t="shared" si="2"/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ht="22.5" customHeight="1">
      <c r="A382" s="9">
        <v>45982.0</v>
      </c>
      <c r="B382" s="11" t="s">
        <v>589</v>
      </c>
      <c r="C382" s="16" t="s">
        <v>411</v>
      </c>
      <c r="D382" s="13" t="s">
        <v>56</v>
      </c>
      <c r="E382" s="13">
        <f t="shared" si="3"/>
        <v>5000000</v>
      </c>
      <c r="F382" s="13">
        <v>5000000.0</v>
      </c>
      <c r="G382" s="14"/>
      <c r="H382" s="13"/>
      <c r="I382" s="14"/>
      <c r="J382" s="14"/>
      <c r="K382" s="14"/>
      <c r="L382" s="14"/>
      <c r="M382" s="14"/>
      <c r="N382" s="14"/>
      <c r="O382" s="14"/>
      <c r="P382" s="14"/>
      <c r="Q382" s="14"/>
      <c r="R382" s="15"/>
      <c r="S382" s="14">
        <f t="shared" si="2"/>
        <v>-5000000</v>
      </c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ht="22.5" customHeight="1">
      <c r="A383" s="9">
        <v>45983.0</v>
      </c>
      <c r="B383" s="11" t="s">
        <v>590</v>
      </c>
      <c r="C383" s="16" t="s">
        <v>10</v>
      </c>
      <c r="D383" s="13" t="s">
        <v>56</v>
      </c>
      <c r="E383" s="13">
        <f t="shared" si="3"/>
        <v>-3000310</v>
      </c>
      <c r="F383" s="14"/>
      <c r="G383" s="14"/>
      <c r="H383" s="13">
        <v>-3000310.0</v>
      </c>
      <c r="I383" s="13">
        <v>310.0</v>
      </c>
      <c r="J383" s="14"/>
      <c r="K383" s="13">
        <v>3000000.0</v>
      </c>
      <c r="L383" s="14"/>
      <c r="M383" s="14"/>
      <c r="N383" s="14"/>
      <c r="O383" s="14"/>
      <c r="P383" s="14"/>
      <c r="Q383" s="14"/>
      <c r="R383" s="15"/>
      <c r="S383" s="15">
        <f t="shared" si="2"/>
        <v>0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ht="22.5" customHeight="1">
      <c r="A384" s="9">
        <v>45984.0</v>
      </c>
      <c r="B384" s="11" t="s">
        <v>591</v>
      </c>
      <c r="C384" s="16" t="s">
        <v>456</v>
      </c>
      <c r="D384" s="13" t="s">
        <v>158</v>
      </c>
      <c r="E384" s="13">
        <f t="shared" si="3"/>
        <v>-215000</v>
      </c>
      <c r="F384" s="14"/>
      <c r="G384" s="14"/>
      <c r="H384" s="13"/>
      <c r="I384" s="13"/>
      <c r="J384" s="13">
        <v>-215000.0</v>
      </c>
      <c r="K384" s="13"/>
      <c r="L384" s="14"/>
      <c r="M384" s="14"/>
      <c r="N384" s="14"/>
      <c r="O384" s="14"/>
      <c r="P384" s="14"/>
      <c r="Q384" s="14"/>
      <c r="R384" s="15"/>
      <c r="S384" s="15">
        <f t="shared" si="2"/>
        <v>0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ht="22.5" customHeight="1">
      <c r="A385" s="9">
        <v>45986.0</v>
      </c>
      <c r="B385" s="11" t="s">
        <v>556</v>
      </c>
      <c r="C385" s="16" t="s">
        <v>426</v>
      </c>
      <c r="D385" s="21" t="s">
        <v>57</v>
      </c>
      <c r="E385" s="13">
        <f t="shared" si="3"/>
        <v>1000000</v>
      </c>
      <c r="F385" s="13">
        <v>1000000.0</v>
      </c>
      <c r="G385" s="14"/>
      <c r="H385" s="13"/>
      <c r="I385" s="13"/>
      <c r="J385" s="13"/>
      <c r="K385" s="13"/>
      <c r="L385" s="14"/>
      <c r="M385" s="14"/>
      <c r="N385" s="14"/>
      <c r="O385" s="14"/>
      <c r="P385" s="14"/>
      <c r="Q385" s="14"/>
      <c r="R385" s="15"/>
      <c r="S385" s="14">
        <f t="shared" si="2"/>
        <v>-1000000</v>
      </c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ht="22.5" customHeight="1">
      <c r="A386" s="9">
        <v>45987.0</v>
      </c>
      <c r="B386" s="11" t="s">
        <v>592</v>
      </c>
      <c r="C386" s="16" t="s">
        <v>456</v>
      </c>
      <c r="D386" s="13" t="s">
        <v>156</v>
      </c>
      <c r="E386" s="13">
        <f t="shared" si="3"/>
        <v>-60000</v>
      </c>
      <c r="F386" s="14"/>
      <c r="G386" s="14"/>
      <c r="H386" s="14"/>
      <c r="I386" s="14"/>
      <c r="J386" s="13">
        <v>-60000.0</v>
      </c>
      <c r="K386" s="14"/>
      <c r="L386" s="14"/>
      <c r="M386" s="14"/>
      <c r="N386" s="14"/>
      <c r="O386" s="14"/>
      <c r="P386" s="14"/>
      <c r="Q386" s="14"/>
      <c r="R386" s="15"/>
      <c r="S386" s="15">
        <f t="shared" si="2"/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ht="22.5" customHeight="1">
      <c r="A387" s="9">
        <v>45987.0</v>
      </c>
      <c r="B387" s="11" t="s">
        <v>593</v>
      </c>
      <c r="C387" s="16" t="s">
        <v>456</v>
      </c>
      <c r="D387" s="13" t="s">
        <v>156</v>
      </c>
      <c r="E387" s="13">
        <f t="shared" si="3"/>
        <v>-25000</v>
      </c>
      <c r="F387" s="14"/>
      <c r="G387" s="14"/>
      <c r="H387" s="14"/>
      <c r="I387" s="14"/>
      <c r="J387" s="13">
        <v>-25000.0</v>
      </c>
      <c r="K387" s="14"/>
      <c r="L387" s="14"/>
      <c r="M387" s="14"/>
      <c r="N387" s="14"/>
      <c r="O387" s="14"/>
      <c r="P387" s="14"/>
      <c r="Q387" s="14"/>
      <c r="R387" s="15"/>
      <c r="S387" s="15">
        <f t="shared" si="2"/>
        <v>0</v>
      </c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ht="22.5" customHeight="1">
      <c r="A388" s="9">
        <v>45987.0</v>
      </c>
      <c r="B388" s="11" t="s">
        <v>594</v>
      </c>
      <c r="C388" s="16" t="s">
        <v>433</v>
      </c>
      <c r="D388" s="13" t="s">
        <v>158</v>
      </c>
      <c r="E388" s="13">
        <f t="shared" si="3"/>
        <v>-86000</v>
      </c>
      <c r="F388" s="14"/>
      <c r="G388" s="14"/>
      <c r="H388" s="14"/>
      <c r="I388" s="14"/>
      <c r="J388" s="13">
        <v>-86000.0</v>
      </c>
      <c r="K388" s="14"/>
      <c r="L388" s="14"/>
      <c r="M388" s="14"/>
      <c r="N388" s="14"/>
      <c r="O388" s="14"/>
      <c r="P388" s="14"/>
      <c r="Q388" s="14"/>
      <c r="R388" s="15"/>
      <c r="S388" s="15">
        <f t="shared" si="2"/>
        <v>0</v>
      </c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ht="22.5" customHeight="1">
      <c r="A389" s="9">
        <v>45987.0</v>
      </c>
      <c r="B389" s="11" t="s">
        <v>252</v>
      </c>
      <c r="C389" s="16" t="s">
        <v>9</v>
      </c>
      <c r="D389" s="21" t="s">
        <v>160</v>
      </c>
      <c r="E389" s="13">
        <f t="shared" si="3"/>
        <v>0</v>
      </c>
      <c r="F389" s="14"/>
      <c r="G389" s="14"/>
      <c r="H389" s="13">
        <v>-521000.0</v>
      </c>
      <c r="I389" s="13"/>
      <c r="J389" s="13">
        <v>521000.0</v>
      </c>
      <c r="K389" s="13"/>
      <c r="L389" s="14"/>
      <c r="M389" s="14"/>
      <c r="N389" s="14"/>
      <c r="O389" s="14"/>
      <c r="P389" s="14"/>
      <c r="Q389" s="14"/>
      <c r="R389" s="15"/>
      <c r="S389" s="15">
        <f t="shared" si="2"/>
        <v>0</v>
      </c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ht="22.5" customHeight="1">
      <c r="A390" s="9">
        <v>45988.0</v>
      </c>
      <c r="B390" s="11" t="s">
        <v>576</v>
      </c>
      <c r="C390" s="16" t="s">
        <v>456</v>
      </c>
      <c r="D390" s="13" t="s">
        <v>156</v>
      </c>
      <c r="E390" s="13">
        <f t="shared" si="3"/>
        <v>-203000</v>
      </c>
      <c r="F390" s="14"/>
      <c r="G390" s="14"/>
      <c r="H390" s="14"/>
      <c r="I390" s="14"/>
      <c r="J390" s="13">
        <v>-203000.0</v>
      </c>
      <c r="K390" s="14"/>
      <c r="L390" s="14"/>
      <c r="M390" s="14"/>
      <c r="N390" s="14"/>
      <c r="O390" s="14"/>
      <c r="P390" s="14"/>
      <c r="Q390" s="14"/>
      <c r="R390" s="15"/>
      <c r="S390" s="15">
        <f t="shared" si="2"/>
        <v>0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ht="22.5" customHeight="1">
      <c r="A391" s="9">
        <v>45989.0</v>
      </c>
      <c r="B391" s="11" t="s">
        <v>595</v>
      </c>
      <c r="C391" s="16" t="s">
        <v>399</v>
      </c>
      <c r="D391" s="13" t="s">
        <v>28</v>
      </c>
      <c r="E391" s="13">
        <f t="shared" si="3"/>
        <v>-250000</v>
      </c>
      <c r="F391" s="14"/>
      <c r="G391" s="14"/>
      <c r="H391" s="13">
        <v>-250000.0</v>
      </c>
      <c r="I391" s="14"/>
      <c r="J391" s="13"/>
      <c r="K391" s="14"/>
      <c r="L391" s="14"/>
      <c r="M391" s="14"/>
      <c r="N391" s="14"/>
      <c r="O391" s="14"/>
      <c r="P391" s="14"/>
      <c r="Q391" s="14"/>
      <c r="R391" s="15"/>
      <c r="S391" s="15">
        <f t="shared" si="2"/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ht="22.5" customHeight="1">
      <c r="A392" s="9">
        <v>45989.0</v>
      </c>
      <c r="B392" s="11" t="s">
        <v>596</v>
      </c>
      <c r="C392" s="16" t="s">
        <v>417</v>
      </c>
      <c r="D392" s="13" t="s">
        <v>28</v>
      </c>
      <c r="E392" s="13">
        <f t="shared" si="3"/>
        <v>-500000</v>
      </c>
      <c r="F392" s="14"/>
      <c r="G392" s="14"/>
      <c r="H392" s="13">
        <v>-500000.0</v>
      </c>
      <c r="I392" s="14"/>
      <c r="J392" s="13"/>
      <c r="K392" s="14"/>
      <c r="L392" s="14"/>
      <c r="M392" s="14"/>
      <c r="N392" s="14"/>
      <c r="O392" s="14"/>
      <c r="P392" s="14"/>
      <c r="Q392" s="14"/>
      <c r="R392" s="15"/>
      <c r="S392" s="15">
        <f t="shared" si="2"/>
        <v>0</v>
      </c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ht="22.5" customHeight="1">
      <c r="A393" s="9">
        <v>45989.0</v>
      </c>
      <c r="B393" s="11" t="s">
        <v>597</v>
      </c>
      <c r="C393" s="16" t="s">
        <v>79</v>
      </c>
      <c r="D393" s="21" t="s">
        <v>27</v>
      </c>
      <c r="E393" s="13">
        <f t="shared" si="3"/>
        <v>-5000300</v>
      </c>
      <c r="F393" s="14"/>
      <c r="G393" s="14"/>
      <c r="H393" s="13">
        <v>-5000300.0</v>
      </c>
      <c r="I393" s="13">
        <v>300.0</v>
      </c>
      <c r="J393" s="13"/>
      <c r="K393" s="14"/>
      <c r="L393" s="14"/>
      <c r="M393" s="14"/>
      <c r="N393" s="14"/>
      <c r="O393" s="14"/>
      <c r="P393" s="14"/>
      <c r="Q393" s="13">
        <v>5000000.0</v>
      </c>
      <c r="R393" s="15"/>
      <c r="S393" s="15">
        <f t="shared" si="2"/>
        <v>0</v>
      </c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ht="22.5" customHeight="1">
      <c r="A394" s="9">
        <v>45990.0</v>
      </c>
      <c r="B394" s="11" t="s">
        <v>252</v>
      </c>
      <c r="C394" s="16" t="s">
        <v>9</v>
      </c>
      <c r="D394" s="13" t="s">
        <v>160</v>
      </c>
      <c r="E394" s="13">
        <f t="shared" si="3"/>
        <v>0</v>
      </c>
      <c r="F394" s="14"/>
      <c r="G394" s="14"/>
      <c r="H394" s="13">
        <v>-374000.0</v>
      </c>
      <c r="I394" s="14"/>
      <c r="J394" s="13">
        <v>374000.0</v>
      </c>
      <c r="K394" s="14"/>
      <c r="L394" s="14"/>
      <c r="M394" s="14"/>
      <c r="N394" s="14"/>
      <c r="O394" s="14"/>
      <c r="P394" s="14"/>
      <c r="Q394" s="14"/>
      <c r="R394" s="15"/>
      <c r="S394" s="15">
        <f t="shared" si="2"/>
        <v>0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22.5" customHeight="1">
      <c r="A395" s="32">
        <v>45992.0</v>
      </c>
      <c r="B395" s="33" t="s">
        <v>598</v>
      </c>
      <c r="C395" s="34" t="s">
        <v>318</v>
      </c>
      <c r="D395" s="35" t="s">
        <v>28</v>
      </c>
      <c r="E395" s="13">
        <f t="shared" si="3"/>
        <v>-250000</v>
      </c>
      <c r="F395" s="36"/>
      <c r="G395" s="36"/>
      <c r="H395" s="35">
        <v>-250000.0</v>
      </c>
      <c r="I395" s="36"/>
      <c r="J395" s="36"/>
      <c r="K395" s="36"/>
      <c r="L395" s="36"/>
      <c r="M395" s="36"/>
      <c r="N395" s="36"/>
      <c r="O395" s="35">
        <v>250000.0</v>
      </c>
      <c r="P395" s="36"/>
      <c r="Q395" s="36"/>
      <c r="R395" s="15"/>
      <c r="S395" s="15">
        <f t="shared" si="2"/>
        <v>0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22.5" customHeight="1">
      <c r="A396" s="9">
        <v>45994.0</v>
      </c>
      <c r="B396" s="11" t="s">
        <v>599</v>
      </c>
      <c r="C396" s="16" t="s">
        <v>456</v>
      </c>
      <c r="D396" s="13" t="s">
        <v>156</v>
      </c>
      <c r="E396" s="13">
        <f t="shared" si="3"/>
        <v>-538000</v>
      </c>
      <c r="F396" s="14"/>
      <c r="G396" s="14"/>
      <c r="H396" s="13"/>
      <c r="I396" s="14"/>
      <c r="J396" s="14">
        <f>-(200000+338000)</f>
        <v>-538000</v>
      </c>
      <c r="K396" s="14"/>
      <c r="L396" s="14"/>
      <c r="M396" s="14"/>
      <c r="N396" s="14"/>
      <c r="O396" s="13"/>
      <c r="P396" s="14"/>
      <c r="Q396" s="14"/>
      <c r="R396" s="15"/>
      <c r="S396" s="15">
        <f t="shared" si="2"/>
        <v>0</v>
      </c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22.5" customHeight="1">
      <c r="A397" s="9">
        <v>45994.0</v>
      </c>
      <c r="B397" s="11" t="s">
        <v>508</v>
      </c>
      <c r="C397" s="16" t="s">
        <v>456</v>
      </c>
      <c r="D397" s="13" t="s">
        <v>156</v>
      </c>
      <c r="E397" s="13">
        <f t="shared" si="3"/>
        <v>-200000</v>
      </c>
      <c r="F397" s="14"/>
      <c r="G397" s="14"/>
      <c r="H397" s="13"/>
      <c r="I397" s="14"/>
      <c r="J397" s="13">
        <v>-200000.0</v>
      </c>
      <c r="K397" s="14"/>
      <c r="L397" s="14"/>
      <c r="M397" s="14"/>
      <c r="N397" s="14"/>
      <c r="O397" s="13"/>
      <c r="P397" s="14"/>
      <c r="Q397" s="14"/>
      <c r="R397" s="15"/>
      <c r="S397" s="15">
        <f t="shared" si="2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22.5" customHeight="1">
      <c r="A398" s="9">
        <v>45995.0</v>
      </c>
      <c r="B398" s="11" t="s">
        <v>252</v>
      </c>
      <c r="C398" s="16" t="s">
        <v>9</v>
      </c>
      <c r="D398" s="13" t="s">
        <v>160</v>
      </c>
      <c r="E398" s="13">
        <f t="shared" si="3"/>
        <v>0</v>
      </c>
      <c r="F398" s="14"/>
      <c r="G398" s="14"/>
      <c r="H398" s="13">
        <v>-738000.0</v>
      </c>
      <c r="I398" s="14"/>
      <c r="J398" s="13">
        <v>738000.0</v>
      </c>
      <c r="K398" s="14"/>
      <c r="L398" s="14"/>
      <c r="M398" s="14"/>
      <c r="N398" s="14"/>
      <c r="O398" s="14"/>
      <c r="P398" s="14"/>
      <c r="Q398" s="14"/>
      <c r="R398" s="15"/>
      <c r="S398" s="15">
        <f t="shared" si="2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22.5" customHeight="1">
      <c r="A399" s="9">
        <v>45997.0</v>
      </c>
      <c r="B399" s="11" t="s">
        <v>576</v>
      </c>
      <c r="C399" s="16" t="s">
        <v>456</v>
      </c>
      <c r="D399" s="13" t="s">
        <v>156</v>
      </c>
      <c r="E399" s="13">
        <f t="shared" si="3"/>
        <v>-50000</v>
      </c>
      <c r="F399" s="14"/>
      <c r="G399" s="14"/>
      <c r="H399" s="13"/>
      <c r="I399" s="14"/>
      <c r="J399" s="13">
        <v>-50000.0</v>
      </c>
      <c r="K399" s="14"/>
      <c r="L399" s="14"/>
      <c r="M399" s="14"/>
      <c r="N399" s="14"/>
      <c r="O399" s="14"/>
      <c r="P399" s="14"/>
      <c r="Q399" s="14"/>
      <c r="R399" s="15"/>
      <c r="S399" s="15">
        <f t="shared" si="2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ht="22.5" customHeight="1">
      <c r="A400" s="9">
        <v>45997.0</v>
      </c>
      <c r="B400" s="11" t="s">
        <v>600</v>
      </c>
      <c r="C400" s="16" t="s">
        <v>456</v>
      </c>
      <c r="D400" s="13" t="s">
        <v>158</v>
      </c>
      <c r="E400" s="13">
        <f t="shared" si="3"/>
        <v>-37000</v>
      </c>
      <c r="F400" s="14"/>
      <c r="G400" s="14"/>
      <c r="H400" s="13"/>
      <c r="I400" s="14"/>
      <c r="J400" s="13">
        <v>-37000.0</v>
      </c>
      <c r="K400" s="14"/>
      <c r="L400" s="14"/>
      <c r="M400" s="14"/>
      <c r="N400" s="14"/>
      <c r="O400" s="14"/>
      <c r="P400" s="14"/>
      <c r="Q400" s="14"/>
      <c r="R400" s="15"/>
      <c r="S400" s="15">
        <f t="shared" si="2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ht="22.5" customHeight="1">
      <c r="A401" s="9">
        <v>45998.0</v>
      </c>
      <c r="B401" s="11" t="s">
        <v>601</v>
      </c>
      <c r="C401" s="16" t="s">
        <v>602</v>
      </c>
      <c r="D401" s="13" t="s">
        <v>47</v>
      </c>
      <c r="E401" s="13">
        <f t="shared" si="3"/>
        <v>0</v>
      </c>
      <c r="F401" s="14"/>
      <c r="G401" s="14"/>
      <c r="H401" s="13">
        <v>-801000.0</v>
      </c>
      <c r="I401" s="14"/>
      <c r="J401" s="14"/>
      <c r="K401" s="14"/>
      <c r="L401" s="13">
        <v>801000.0</v>
      </c>
      <c r="M401" s="14"/>
      <c r="N401" s="14"/>
      <c r="O401" s="14"/>
      <c r="P401" s="14"/>
      <c r="Q401" s="14"/>
      <c r="R401" s="15"/>
      <c r="S401" s="15">
        <f t="shared" si="2"/>
        <v>0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ht="22.5" customHeight="1">
      <c r="A402" s="9">
        <v>45998.0</v>
      </c>
      <c r="B402" s="11" t="s">
        <v>603</v>
      </c>
      <c r="C402" s="16" t="s">
        <v>602</v>
      </c>
      <c r="D402" s="13" t="s">
        <v>47</v>
      </c>
      <c r="E402" s="13">
        <f t="shared" si="3"/>
        <v>0</v>
      </c>
      <c r="F402" s="14"/>
      <c r="G402" s="14"/>
      <c r="H402" s="13">
        <v>-401000.0</v>
      </c>
      <c r="I402" s="14"/>
      <c r="J402" s="14"/>
      <c r="K402" s="14"/>
      <c r="L402" s="13">
        <v>401000.0</v>
      </c>
      <c r="M402" s="14"/>
      <c r="N402" s="14"/>
      <c r="O402" s="14"/>
      <c r="P402" s="14"/>
      <c r="Q402" s="14"/>
      <c r="R402" s="15"/>
      <c r="S402" s="15">
        <f t="shared" si="2"/>
        <v>0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ht="22.5" customHeight="1">
      <c r="A403" s="9">
        <v>45999.0</v>
      </c>
      <c r="B403" s="11" t="s">
        <v>604</v>
      </c>
      <c r="C403" s="16" t="s">
        <v>318</v>
      </c>
      <c r="D403" s="13" t="s">
        <v>28</v>
      </c>
      <c r="E403" s="13">
        <f t="shared" si="3"/>
        <v>-100000</v>
      </c>
      <c r="F403" s="14"/>
      <c r="G403" s="14"/>
      <c r="H403" s="13">
        <v>-100000.0</v>
      </c>
      <c r="I403" s="14"/>
      <c r="J403" s="14"/>
      <c r="K403" s="14"/>
      <c r="L403" s="14"/>
      <c r="M403" s="14"/>
      <c r="N403" s="14"/>
      <c r="O403" s="13">
        <v>100000.0</v>
      </c>
      <c r="P403" s="14"/>
      <c r="Q403" s="14"/>
      <c r="R403" s="15"/>
      <c r="S403" s="15">
        <f t="shared" si="2"/>
        <v>0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ht="22.5" customHeight="1">
      <c r="A404" s="9">
        <v>46000.0</v>
      </c>
      <c r="B404" s="11" t="s">
        <v>576</v>
      </c>
      <c r="C404" s="16" t="s">
        <v>456</v>
      </c>
      <c r="D404" s="13" t="s">
        <v>156</v>
      </c>
      <c r="E404" s="13">
        <f t="shared" si="3"/>
        <v>-203000</v>
      </c>
      <c r="F404" s="14"/>
      <c r="G404" s="14"/>
      <c r="H404" s="13"/>
      <c r="I404" s="14"/>
      <c r="J404" s="13">
        <v>-203000.0</v>
      </c>
      <c r="K404" s="14"/>
      <c r="L404" s="14"/>
      <c r="M404" s="14"/>
      <c r="N404" s="14"/>
      <c r="O404" s="14"/>
      <c r="P404" s="14"/>
      <c r="Q404" s="14"/>
      <c r="R404" s="15"/>
      <c r="S404" s="15">
        <f t="shared" si="2"/>
        <v>0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ht="22.5" customHeight="1">
      <c r="A405" s="9">
        <v>46001.0</v>
      </c>
      <c r="B405" s="11" t="s">
        <v>25</v>
      </c>
      <c r="C405" s="16" t="s">
        <v>9</v>
      </c>
      <c r="D405" s="13" t="s">
        <v>167</v>
      </c>
      <c r="E405" s="13">
        <f t="shared" si="3"/>
        <v>-1750000</v>
      </c>
      <c r="F405" s="14"/>
      <c r="G405" s="14"/>
      <c r="H405" s="13">
        <v>-1750000.0</v>
      </c>
      <c r="I405" s="14"/>
      <c r="J405" s="14"/>
      <c r="K405" s="14"/>
      <c r="L405" s="14"/>
      <c r="M405" s="14"/>
      <c r="N405" s="14"/>
      <c r="O405" s="14"/>
      <c r="P405" s="14"/>
      <c r="Q405" s="14"/>
      <c r="R405" s="15"/>
      <c r="S405" s="15">
        <f t="shared" si="2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ht="22.5" customHeight="1">
      <c r="A406" s="9">
        <v>46004.0</v>
      </c>
      <c r="B406" s="11" t="s">
        <v>605</v>
      </c>
      <c r="C406" s="19"/>
      <c r="D406" s="13" t="s">
        <v>158</v>
      </c>
      <c r="E406" s="13">
        <f t="shared" si="3"/>
        <v>-200377</v>
      </c>
      <c r="F406" s="14"/>
      <c r="G406" s="14"/>
      <c r="H406" s="13">
        <v>-200377.0</v>
      </c>
      <c r="I406" s="13">
        <v>377.0</v>
      </c>
      <c r="J406" s="14"/>
      <c r="K406" s="14"/>
      <c r="L406" s="14"/>
      <c r="M406" s="14"/>
      <c r="N406" s="13">
        <v>200000.0</v>
      </c>
      <c r="O406" s="14"/>
      <c r="P406" s="14"/>
      <c r="Q406" s="14"/>
      <c r="R406" s="15"/>
      <c r="S406" s="15">
        <f t="shared" si="2"/>
        <v>0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ht="22.5" customHeight="1">
      <c r="A407" s="9">
        <v>46007.0</v>
      </c>
      <c r="B407" s="11" t="s">
        <v>606</v>
      </c>
      <c r="C407" s="16" t="s">
        <v>264</v>
      </c>
      <c r="D407" s="13" t="s">
        <v>28</v>
      </c>
      <c r="E407" s="13">
        <f t="shared" si="3"/>
        <v>-250377</v>
      </c>
      <c r="F407" s="14"/>
      <c r="G407" s="14"/>
      <c r="H407" s="13">
        <v>-250377.0</v>
      </c>
      <c r="I407" s="13">
        <v>377.0</v>
      </c>
      <c r="J407" s="14"/>
      <c r="K407" s="14"/>
      <c r="L407" s="14"/>
      <c r="M407" s="14"/>
      <c r="N407" s="14"/>
      <c r="O407" s="13">
        <v>250000.0</v>
      </c>
      <c r="P407" s="14"/>
      <c r="Q407" s="14"/>
      <c r="R407" s="15"/>
      <c r="S407" s="15">
        <f t="shared" si="2"/>
        <v>0</v>
      </c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ht="22.5" customHeight="1">
      <c r="A408" s="9">
        <v>46008.0</v>
      </c>
      <c r="B408" s="11" t="s">
        <v>576</v>
      </c>
      <c r="C408" s="16" t="s">
        <v>456</v>
      </c>
      <c r="D408" s="13" t="s">
        <v>156</v>
      </c>
      <c r="E408" s="13">
        <f t="shared" si="3"/>
        <v>-203000</v>
      </c>
      <c r="F408" s="14"/>
      <c r="G408" s="14"/>
      <c r="H408" s="13"/>
      <c r="I408" s="14"/>
      <c r="J408" s="13">
        <v>-203000.0</v>
      </c>
      <c r="K408" s="14"/>
      <c r="L408" s="14"/>
      <c r="M408" s="14"/>
      <c r="N408" s="14"/>
      <c r="O408" s="14"/>
      <c r="P408" s="14"/>
      <c r="Q408" s="14"/>
      <c r="R408" s="15"/>
      <c r="S408" s="15">
        <f t="shared" si="2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ht="22.5" customHeight="1">
      <c r="A409" s="9">
        <v>46010.0</v>
      </c>
      <c r="B409" s="11" t="s">
        <v>252</v>
      </c>
      <c r="C409" s="16" t="s">
        <v>9</v>
      </c>
      <c r="D409" s="21" t="s">
        <v>160</v>
      </c>
      <c r="E409" s="13">
        <f t="shared" si="3"/>
        <v>0</v>
      </c>
      <c r="F409" s="14"/>
      <c r="G409" s="14"/>
      <c r="H409" s="13">
        <v>-493000.0</v>
      </c>
      <c r="I409" s="14"/>
      <c r="J409" s="13">
        <v>493000.0</v>
      </c>
      <c r="K409" s="14"/>
      <c r="L409" s="14"/>
      <c r="M409" s="14"/>
      <c r="N409" s="14"/>
      <c r="O409" s="14"/>
      <c r="P409" s="14"/>
      <c r="Q409" s="14"/>
      <c r="R409" s="15"/>
      <c r="S409" s="15">
        <f t="shared" si="2"/>
        <v>0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ht="22.5" customHeight="1">
      <c r="A410" s="9">
        <v>46012.0</v>
      </c>
      <c r="B410" s="11" t="s">
        <v>607</v>
      </c>
      <c r="C410" s="16" t="s">
        <v>229</v>
      </c>
      <c r="D410" s="13" t="s">
        <v>58</v>
      </c>
      <c r="E410" s="13">
        <f t="shared" si="3"/>
        <v>11463275</v>
      </c>
      <c r="F410" s="13">
        <v>1.1463275E7</v>
      </c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5"/>
      <c r="S410" s="14">
        <f t="shared" si="2"/>
        <v>-11463275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ht="22.5" customHeight="1">
      <c r="A411" s="9">
        <v>46012.0</v>
      </c>
      <c r="B411" s="11" t="s">
        <v>608</v>
      </c>
      <c r="C411" s="16" t="s">
        <v>62</v>
      </c>
      <c r="D411" s="13" t="s">
        <v>58</v>
      </c>
      <c r="E411" s="13">
        <f t="shared" si="3"/>
        <v>-6512715</v>
      </c>
      <c r="F411" s="31">
        <v>-6512715.0</v>
      </c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5"/>
      <c r="S411" s="15">
        <f t="shared" si="2"/>
        <v>0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ht="22.5" customHeight="1">
      <c r="A412" s="9">
        <v>46012.0</v>
      </c>
      <c r="B412" s="11" t="s">
        <v>609</v>
      </c>
      <c r="C412" s="16" t="s">
        <v>318</v>
      </c>
      <c r="D412" s="13" t="s">
        <v>158</v>
      </c>
      <c r="E412" s="13">
        <f t="shared" si="3"/>
        <v>-300000</v>
      </c>
      <c r="F412" s="14"/>
      <c r="G412" s="14"/>
      <c r="H412" s="13">
        <v>-300000.0</v>
      </c>
      <c r="I412" s="14"/>
      <c r="J412" s="14"/>
      <c r="K412" s="14"/>
      <c r="L412" s="14"/>
      <c r="M412" s="14"/>
      <c r="N412" s="13">
        <v>300000.0</v>
      </c>
      <c r="O412" s="14"/>
      <c r="P412" s="14"/>
      <c r="Q412" s="14"/>
      <c r="R412" s="15"/>
      <c r="S412" s="15">
        <f t="shared" si="2"/>
        <v>0</v>
      </c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ht="22.5" customHeight="1">
      <c r="A413" s="9">
        <v>46012.0</v>
      </c>
      <c r="B413" s="11" t="s">
        <v>610</v>
      </c>
      <c r="C413" s="16" t="s">
        <v>456</v>
      </c>
      <c r="D413" s="13" t="s">
        <v>158</v>
      </c>
      <c r="E413" s="13">
        <f t="shared" si="3"/>
        <v>-129000</v>
      </c>
      <c r="F413" s="14"/>
      <c r="G413" s="14"/>
      <c r="H413" s="13"/>
      <c r="I413" s="14"/>
      <c r="J413" s="13">
        <v>-129000.0</v>
      </c>
      <c r="K413" s="14"/>
      <c r="L413" s="14"/>
      <c r="M413" s="14"/>
      <c r="N413" s="14"/>
      <c r="O413" s="14"/>
      <c r="P413" s="14"/>
      <c r="Q413" s="14"/>
      <c r="R413" s="15"/>
      <c r="S413" s="15">
        <f t="shared" si="2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ht="22.5" customHeight="1">
      <c r="A414" s="9">
        <v>46012.0</v>
      </c>
      <c r="B414" s="11" t="s">
        <v>253</v>
      </c>
      <c r="C414" s="16" t="s">
        <v>456</v>
      </c>
      <c r="D414" s="13" t="s">
        <v>51</v>
      </c>
      <c r="E414" s="13">
        <f t="shared" si="3"/>
        <v>0</v>
      </c>
      <c r="F414" s="13">
        <v>-1.0E7</v>
      </c>
      <c r="G414" s="14"/>
      <c r="H414" s="13">
        <v>1.0E7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5"/>
      <c r="S414" s="15">
        <f t="shared" si="2"/>
        <v>0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ht="22.5" customHeight="1">
      <c r="A415" s="9">
        <v>46014.0</v>
      </c>
      <c r="B415" s="11" t="s">
        <v>434</v>
      </c>
      <c r="C415" s="12" t="s">
        <v>82</v>
      </c>
      <c r="D415" s="18" t="s">
        <v>27</v>
      </c>
      <c r="E415" s="13">
        <f t="shared" si="3"/>
        <v>200000</v>
      </c>
      <c r="F415" s="13">
        <v>200000.0</v>
      </c>
      <c r="G415" s="14"/>
      <c r="H415" s="13"/>
      <c r="I415" s="14"/>
      <c r="J415" s="14"/>
      <c r="K415" s="14"/>
      <c r="L415" s="14"/>
      <c r="M415" s="14"/>
      <c r="N415" s="14"/>
      <c r="O415" s="14"/>
      <c r="P415" s="14"/>
      <c r="Q415" s="14"/>
      <c r="R415" s="15"/>
      <c r="S415" s="14">
        <f t="shared" si="2"/>
        <v>-200000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ht="22.5" customHeight="1">
      <c r="A416" s="9">
        <v>46014.0</v>
      </c>
      <c r="B416" s="11" t="s">
        <v>611</v>
      </c>
      <c r="C416" s="16" t="s">
        <v>456</v>
      </c>
      <c r="D416" s="13" t="s">
        <v>156</v>
      </c>
      <c r="E416" s="13">
        <f t="shared" si="3"/>
        <v>-203000</v>
      </c>
      <c r="F416" s="14"/>
      <c r="G416" s="14"/>
      <c r="H416" s="13"/>
      <c r="I416" s="14"/>
      <c r="J416" s="13">
        <v>-203000.0</v>
      </c>
      <c r="K416" s="14"/>
      <c r="L416" s="14"/>
      <c r="M416" s="14"/>
      <c r="N416" s="14"/>
      <c r="O416" s="14"/>
      <c r="P416" s="14"/>
      <c r="Q416" s="14"/>
      <c r="R416" s="15"/>
      <c r="S416" s="15">
        <f t="shared" si="2"/>
        <v>0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ht="22.5" customHeight="1">
      <c r="A417" s="9">
        <v>46014.0</v>
      </c>
      <c r="B417" s="11" t="s">
        <v>612</v>
      </c>
      <c r="C417" s="16" t="s">
        <v>456</v>
      </c>
      <c r="D417" s="13" t="s">
        <v>156</v>
      </c>
      <c r="E417" s="13">
        <f t="shared" si="3"/>
        <v>-600000</v>
      </c>
      <c r="F417" s="14"/>
      <c r="G417" s="14"/>
      <c r="H417" s="13"/>
      <c r="I417" s="14"/>
      <c r="J417" s="13">
        <f>-(100000+500000)</f>
        <v>-600000</v>
      </c>
      <c r="K417" s="14"/>
      <c r="L417" s="14"/>
      <c r="M417" s="14"/>
      <c r="N417" s="14"/>
      <c r="O417" s="14"/>
      <c r="P417" s="14"/>
      <c r="Q417" s="14"/>
      <c r="R417" s="15"/>
      <c r="S417" s="15">
        <f t="shared" si="2"/>
        <v>0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ht="22.5" customHeight="1">
      <c r="A418" s="9">
        <v>46014.0</v>
      </c>
      <c r="B418" s="11" t="s">
        <v>613</v>
      </c>
      <c r="C418" s="16" t="s">
        <v>456</v>
      </c>
      <c r="D418" s="13" t="s">
        <v>158</v>
      </c>
      <c r="E418" s="13">
        <f t="shared" si="3"/>
        <v>-576000</v>
      </c>
      <c r="F418" s="14"/>
      <c r="G418" s="14"/>
      <c r="H418" s="13"/>
      <c r="I418" s="14"/>
      <c r="J418" s="13">
        <f>-(220000+183000+173000)</f>
        <v>-576000</v>
      </c>
      <c r="K418" s="14"/>
      <c r="L418" s="14"/>
      <c r="M418" s="14"/>
      <c r="N418" s="14">
        <f>(220000+183000+173000)</f>
        <v>576000</v>
      </c>
      <c r="O418" s="14"/>
      <c r="P418" s="14"/>
      <c r="Q418" s="14"/>
      <c r="R418" s="15"/>
      <c r="S418" s="15">
        <f t="shared" si="2"/>
        <v>0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ht="22.5" customHeight="1">
      <c r="A419" s="9">
        <v>46015.0</v>
      </c>
      <c r="B419" s="11" t="s">
        <v>614</v>
      </c>
      <c r="C419" s="16" t="s">
        <v>615</v>
      </c>
      <c r="D419" s="13" t="s">
        <v>616</v>
      </c>
      <c r="E419" s="13">
        <f t="shared" si="3"/>
        <v>-270000</v>
      </c>
      <c r="F419" s="14"/>
      <c r="G419" s="14"/>
      <c r="H419" s="13">
        <v>-270000.0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5"/>
      <c r="S419" s="15">
        <f t="shared" si="2"/>
        <v>0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ht="22.5" customHeight="1">
      <c r="A420" s="9">
        <v>46016.0</v>
      </c>
      <c r="B420" s="11" t="s">
        <v>617</v>
      </c>
      <c r="C420" s="16" t="s">
        <v>456</v>
      </c>
      <c r="D420" s="13" t="s">
        <v>158</v>
      </c>
      <c r="E420" s="13">
        <f t="shared" si="3"/>
        <v>-135000</v>
      </c>
      <c r="F420" s="14"/>
      <c r="G420" s="14"/>
      <c r="H420" s="13"/>
      <c r="I420" s="14"/>
      <c r="J420" s="13">
        <v>-135000.0</v>
      </c>
      <c r="K420" s="14"/>
      <c r="L420" s="14"/>
      <c r="M420" s="14"/>
      <c r="N420" s="14"/>
      <c r="O420" s="14"/>
      <c r="P420" s="14"/>
      <c r="Q420" s="14"/>
      <c r="R420" s="15"/>
      <c r="S420" s="15">
        <f t="shared" si="2"/>
        <v>0</v>
      </c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ht="22.5" customHeight="1">
      <c r="A421" s="9">
        <v>46017.0</v>
      </c>
      <c r="B421" s="11" t="s">
        <v>252</v>
      </c>
      <c r="C421" s="16" t="s">
        <v>9</v>
      </c>
      <c r="D421" s="13" t="s">
        <v>160</v>
      </c>
      <c r="E421" s="13">
        <f t="shared" si="3"/>
        <v>0</v>
      </c>
      <c r="F421" s="14"/>
      <c r="G421" s="14"/>
      <c r="H421" s="13">
        <v>-1643000.0</v>
      </c>
      <c r="I421" s="14"/>
      <c r="J421" s="13">
        <v>1643000.0</v>
      </c>
      <c r="K421" s="14"/>
      <c r="L421" s="14"/>
      <c r="M421" s="14"/>
      <c r="N421" s="14"/>
      <c r="O421" s="14"/>
      <c r="P421" s="14"/>
      <c r="Q421" s="14"/>
      <c r="R421" s="15"/>
      <c r="S421" s="15">
        <f t="shared" si="2"/>
        <v>0</v>
      </c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ht="22.5" customHeight="1">
      <c r="A422" s="9">
        <v>46018.0</v>
      </c>
      <c r="B422" s="37" t="s">
        <v>618</v>
      </c>
      <c r="C422" s="16" t="s">
        <v>421</v>
      </c>
      <c r="D422" s="21" t="s">
        <v>619</v>
      </c>
      <c r="E422" s="13">
        <f t="shared" si="3"/>
        <v>-1000000</v>
      </c>
      <c r="F422" s="14"/>
      <c r="G422" s="14"/>
      <c r="H422" s="13">
        <v>-1000000.0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5"/>
      <c r="S422" s="15">
        <f t="shared" si="2"/>
        <v>0</v>
      </c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ht="22.5" customHeight="1">
      <c r="A423" s="9">
        <v>46019.0</v>
      </c>
      <c r="B423" s="11" t="s">
        <v>620</v>
      </c>
      <c r="C423" s="16" t="s">
        <v>399</v>
      </c>
      <c r="D423" s="13" t="s">
        <v>1</v>
      </c>
      <c r="E423" s="13">
        <f t="shared" si="3"/>
        <v>-250369</v>
      </c>
      <c r="F423" s="14"/>
      <c r="G423" s="14"/>
      <c r="H423" s="13">
        <v>-250369.0</v>
      </c>
      <c r="I423" s="13">
        <v>369.0</v>
      </c>
      <c r="J423" s="14"/>
      <c r="K423" s="14"/>
      <c r="L423" s="14"/>
      <c r="M423" s="13">
        <v>250000.0</v>
      </c>
      <c r="N423" s="14"/>
      <c r="O423" s="14"/>
      <c r="P423" s="14"/>
      <c r="Q423" s="14"/>
      <c r="R423" s="15"/>
      <c r="S423" s="15">
        <f t="shared" si="2"/>
        <v>0</v>
      </c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ht="22.5" customHeight="1">
      <c r="A424" s="9">
        <v>46022.0</v>
      </c>
      <c r="B424" s="11" t="s">
        <v>621</v>
      </c>
      <c r="C424" s="16" t="s">
        <v>456</v>
      </c>
      <c r="D424" s="13" t="s">
        <v>616</v>
      </c>
      <c r="E424" s="13">
        <f t="shared" si="3"/>
        <v>0</v>
      </c>
      <c r="F424" s="13">
        <v>270000.0</v>
      </c>
      <c r="G424" s="14"/>
      <c r="H424" s="13">
        <v>-270000.0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5"/>
      <c r="S424" s="15">
        <f t="shared" si="2"/>
        <v>0</v>
      </c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ht="22.5" customHeight="1">
      <c r="A425" s="32">
        <v>46023.0</v>
      </c>
      <c r="B425" s="33" t="s">
        <v>622</v>
      </c>
      <c r="C425" s="34" t="s">
        <v>456</v>
      </c>
      <c r="D425" s="35" t="s">
        <v>156</v>
      </c>
      <c r="E425" s="13">
        <f t="shared" si="3"/>
        <v>-538000</v>
      </c>
      <c r="F425" s="36"/>
      <c r="G425" s="36"/>
      <c r="H425" s="36"/>
      <c r="I425" s="36"/>
      <c r="J425" s="35">
        <v>-538000.0</v>
      </c>
      <c r="K425" s="36"/>
      <c r="L425" s="36"/>
      <c r="M425" s="36"/>
      <c r="N425" s="36"/>
      <c r="O425" s="36"/>
      <c r="P425" s="36"/>
      <c r="Q425" s="36"/>
      <c r="R425" s="15"/>
      <c r="S425" s="15">
        <f t="shared" si="2"/>
        <v>0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ht="22.5" customHeight="1">
      <c r="A426" s="9">
        <v>46023.0</v>
      </c>
      <c r="B426" s="11" t="s">
        <v>25</v>
      </c>
      <c r="C426" s="16" t="s">
        <v>9</v>
      </c>
      <c r="D426" s="13" t="s">
        <v>167</v>
      </c>
      <c r="E426" s="13">
        <f t="shared" si="3"/>
        <v>-1750000</v>
      </c>
      <c r="F426" s="14"/>
      <c r="G426" s="14"/>
      <c r="H426" s="13">
        <v>-1750000.0</v>
      </c>
      <c r="I426" s="14"/>
      <c r="J426" s="13"/>
      <c r="K426" s="14"/>
      <c r="L426" s="14"/>
      <c r="M426" s="14"/>
      <c r="N426" s="14"/>
      <c r="O426" s="14"/>
      <c r="P426" s="14"/>
      <c r="Q426" s="14"/>
      <c r="R426" s="15"/>
      <c r="S426" s="15">
        <f t="shared" si="2"/>
        <v>0</v>
      </c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ht="22.5" customHeight="1">
      <c r="A427" s="9">
        <v>46023.0</v>
      </c>
      <c r="B427" s="11" t="s">
        <v>623</v>
      </c>
      <c r="C427" s="16" t="s">
        <v>9</v>
      </c>
      <c r="D427" s="13" t="s">
        <v>160</v>
      </c>
      <c r="E427" s="13">
        <f t="shared" si="3"/>
        <v>0</v>
      </c>
      <c r="F427" s="14"/>
      <c r="G427" s="14"/>
      <c r="H427" s="13">
        <v>-538000.0</v>
      </c>
      <c r="I427" s="14"/>
      <c r="J427" s="13">
        <v>538000.0</v>
      </c>
      <c r="K427" s="14"/>
      <c r="L427" s="14"/>
      <c r="M427" s="14"/>
      <c r="N427" s="14"/>
      <c r="O427" s="14"/>
      <c r="P427" s="14"/>
      <c r="Q427" s="14"/>
      <c r="R427" s="15"/>
      <c r="S427" s="15">
        <f t="shared" si="2"/>
        <v>0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ht="22.5" customHeight="1">
      <c r="A428" s="9">
        <v>46029.0</v>
      </c>
      <c r="B428" s="11" t="s">
        <v>624</v>
      </c>
      <c r="C428" s="16" t="s">
        <v>625</v>
      </c>
      <c r="D428" s="13" t="s">
        <v>158</v>
      </c>
      <c r="E428" s="13">
        <f t="shared" si="3"/>
        <v>-172000</v>
      </c>
      <c r="F428" s="14"/>
      <c r="G428" s="14"/>
      <c r="H428" s="14"/>
      <c r="I428" s="14"/>
      <c r="J428" s="14">
        <f>-(85000+24000+63000)</f>
        <v>-172000</v>
      </c>
      <c r="K428" s="14"/>
      <c r="L428" s="14"/>
      <c r="M428" s="14"/>
      <c r="N428" s="14">
        <f>(85000+24000+63000)</f>
        <v>172000</v>
      </c>
      <c r="O428" s="14"/>
      <c r="P428" s="14"/>
      <c r="Q428" s="14"/>
      <c r="R428" s="15"/>
      <c r="S428" s="15">
        <f t="shared" si="2"/>
        <v>0</v>
      </c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ht="22.5" customHeight="1">
      <c r="A429" s="9">
        <v>46031.0</v>
      </c>
      <c r="B429" s="11" t="s">
        <v>626</v>
      </c>
      <c r="C429" s="16" t="s">
        <v>627</v>
      </c>
      <c r="D429" s="13" t="s">
        <v>158</v>
      </c>
      <c r="E429" s="13">
        <f t="shared" si="3"/>
        <v>-160000</v>
      </c>
      <c r="F429" s="14"/>
      <c r="G429" s="14"/>
      <c r="H429" s="14"/>
      <c r="I429" s="14"/>
      <c r="J429" s="13">
        <v>-160000.0</v>
      </c>
      <c r="K429" s="14"/>
      <c r="L429" s="14"/>
      <c r="M429" s="14"/>
      <c r="N429" s="14">
        <f>(100000+60000)</f>
        <v>160000</v>
      </c>
      <c r="O429" s="14"/>
      <c r="P429" s="14"/>
      <c r="Q429" s="14"/>
      <c r="R429" s="15"/>
      <c r="S429" s="15">
        <f t="shared" si="2"/>
        <v>0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ht="22.5" customHeight="1">
      <c r="A430" s="9">
        <v>46033.0</v>
      </c>
      <c r="B430" s="11" t="s">
        <v>576</v>
      </c>
      <c r="C430" s="16" t="s">
        <v>456</v>
      </c>
      <c r="D430" s="13" t="s">
        <v>24</v>
      </c>
      <c r="E430" s="13">
        <f t="shared" si="3"/>
        <v>-203000</v>
      </c>
      <c r="F430" s="14"/>
      <c r="G430" s="14"/>
      <c r="H430" s="14"/>
      <c r="I430" s="14"/>
      <c r="J430" s="13">
        <v>-203000.0</v>
      </c>
      <c r="K430" s="14"/>
      <c r="L430" s="14"/>
      <c r="M430" s="14"/>
      <c r="N430" s="14"/>
      <c r="O430" s="13"/>
      <c r="P430" s="14"/>
      <c r="Q430" s="14"/>
      <c r="R430" s="15"/>
      <c r="S430" s="15">
        <f t="shared" si="2"/>
        <v>0</v>
      </c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ht="22.5" customHeight="1">
      <c r="A431" s="9">
        <v>46033.0</v>
      </c>
      <c r="B431" s="11" t="s">
        <v>628</v>
      </c>
      <c r="C431" s="16" t="s">
        <v>629</v>
      </c>
      <c r="D431" s="13" t="s">
        <v>158</v>
      </c>
      <c r="E431" s="13">
        <f t="shared" si="3"/>
        <v>-335000</v>
      </c>
      <c r="F431" s="14"/>
      <c r="G431" s="14"/>
      <c r="H431" s="14"/>
      <c r="I431" s="14"/>
      <c r="J431" s="14">
        <f>-(200000+90000+45000)</f>
        <v>-335000</v>
      </c>
      <c r="K431" s="14"/>
      <c r="L431" s="14"/>
      <c r="M431" s="14"/>
      <c r="N431" s="14">
        <f>(200000+90000+45000)</f>
        <v>335000</v>
      </c>
      <c r="O431" s="14"/>
      <c r="P431" s="14"/>
      <c r="Q431" s="14"/>
      <c r="R431" s="15"/>
      <c r="S431" s="15">
        <f t="shared" si="2"/>
        <v>0</v>
      </c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ht="22.5" customHeight="1">
      <c r="A432" s="9">
        <v>46033.0</v>
      </c>
      <c r="B432" s="11" t="s">
        <v>630</v>
      </c>
      <c r="C432" s="16" t="s">
        <v>629</v>
      </c>
      <c r="D432" s="13" t="s">
        <v>28</v>
      </c>
      <c r="E432" s="13">
        <f t="shared" si="3"/>
        <v>-44000</v>
      </c>
      <c r="F432" s="14"/>
      <c r="G432" s="14"/>
      <c r="H432" s="14"/>
      <c r="I432" s="14"/>
      <c r="J432" s="13">
        <v>-44000.0</v>
      </c>
      <c r="K432" s="14"/>
      <c r="L432" s="14"/>
      <c r="M432" s="14"/>
      <c r="N432" s="14"/>
      <c r="O432" s="13">
        <v>44000.0</v>
      </c>
      <c r="P432" s="14"/>
      <c r="Q432" s="14"/>
      <c r="R432" s="15"/>
      <c r="S432" s="15">
        <f t="shared" si="2"/>
        <v>0</v>
      </c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ht="22.5" customHeight="1">
      <c r="A433" s="9">
        <v>46036.0</v>
      </c>
      <c r="B433" s="11" t="s">
        <v>252</v>
      </c>
      <c r="C433" s="16" t="s">
        <v>9</v>
      </c>
      <c r="D433" s="13" t="s">
        <v>160</v>
      </c>
      <c r="E433" s="13">
        <f t="shared" si="3"/>
        <v>0</v>
      </c>
      <c r="F433" s="14"/>
      <c r="G433" s="14"/>
      <c r="H433" s="13">
        <v>-887000.0</v>
      </c>
      <c r="I433" s="14"/>
      <c r="J433" s="13">
        <v>887000.0</v>
      </c>
      <c r="K433" s="14"/>
      <c r="L433" s="14"/>
      <c r="M433" s="14"/>
      <c r="N433" s="14"/>
      <c r="O433" s="13"/>
      <c r="P433" s="14"/>
      <c r="Q433" s="14"/>
      <c r="R433" s="15"/>
      <c r="S433" s="15">
        <f t="shared" si="2"/>
        <v>0</v>
      </c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ht="22.5" customHeight="1">
      <c r="A434" s="9">
        <v>46038.0</v>
      </c>
      <c r="B434" s="11" t="s">
        <v>631</v>
      </c>
      <c r="C434" s="16" t="s">
        <v>9</v>
      </c>
      <c r="D434" s="13" t="s">
        <v>13</v>
      </c>
      <c r="E434" s="13">
        <f t="shared" si="3"/>
        <v>-350000</v>
      </c>
      <c r="F434" s="14"/>
      <c r="G434" s="14"/>
      <c r="H434" s="14"/>
      <c r="I434" s="14"/>
      <c r="J434" s="13">
        <v>-350000.0</v>
      </c>
      <c r="K434" s="14"/>
      <c r="L434" s="14"/>
      <c r="M434" s="14"/>
      <c r="N434" s="14"/>
      <c r="O434" s="14"/>
      <c r="P434" s="14"/>
      <c r="Q434" s="14"/>
      <c r="R434" s="15"/>
      <c r="S434" s="15">
        <f t="shared" si="2"/>
        <v>0</v>
      </c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ht="22.5" customHeight="1">
      <c r="A435" s="9">
        <v>46040.0</v>
      </c>
      <c r="B435" s="11" t="s">
        <v>632</v>
      </c>
      <c r="C435" s="16" t="s">
        <v>9</v>
      </c>
      <c r="D435" s="13" t="s">
        <v>13</v>
      </c>
      <c r="E435" s="13">
        <f t="shared" si="3"/>
        <v>-1150000</v>
      </c>
      <c r="F435" s="14"/>
      <c r="G435" s="14"/>
      <c r="H435" s="13">
        <v>-1150000.0</v>
      </c>
      <c r="I435" s="14"/>
      <c r="J435" s="14"/>
      <c r="K435" s="14"/>
      <c r="L435" s="14"/>
      <c r="M435" s="14"/>
      <c r="N435" s="14"/>
      <c r="O435" s="14"/>
      <c r="P435" s="14"/>
      <c r="Q435" s="14"/>
      <c r="R435" s="15"/>
      <c r="S435" s="15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ht="22.5" customHeight="1">
      <c r="A436" s="9">
        <v>46040.0</v>
      </c>
      <c r="B436" s="11" t="s">
        <v>633</v>
      </c>
      <c r="C436" s="16" t="s">
        <v>9</v>
      </c>
      <c r="D436" s="13" t="s">
        <v>160</v>
      </c>
      <c r="E436" s="13">
        <f t="shared" si="3"/>
        <v>0</v>
      </c>
      <c r="F436" s="14"/>
      <c r="G436" s="14"/>
      <c r="H436" s="13">
        <v>-350000.0</v>
      </c>
      <c r="I436" s="13"/>
      <c r="J436" s="13">
        <v>350000.0</v>
      </c>
      <c r="K436" s="14"/>
      <c r="L436" s="14"/>
      <c r="M436" s="14"/>
      <c r="N436" s="14"/>
      <c r="O436" s="14"/>
      <c r="P436" s="14"/>
      <c r="Q436" s="14"/>
      <c r="R436" s="15"/>
      <c r="S436" s="15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ht="22.5" customHeight="1">
      <c r="A437" s="9">
        <v>46041.0</v>
      </c>
      <c r="B437" s="11" t="s">
        <v>634</v>
      </c>
      <c r="C437" s="16" t="s">
        <v>635</v>
      </c>
      <c r="D437" s="13" t="s">
        <v>1</v>
      </c>
      <c r="E437" s="13">
        <f t="shared" si="3"/>
        <v>-200204</v>
      </c>
      <c r="F437" s="14"/>
      <c r="G437" s="14"/>
      <c r="H437" s="13">
        <v>-200204.0</v>
      </c>
      <c r="I437" s="13">
        <v>204.0</v>
      </c>
      <c r="J437" s="14"/>
      <c r="K437" s="14"/>
      <c r="L437" s="14"/>
      <c r="M437" s="14"/>
      <c r="N437" s="14"/>
      <c r="O437" s="14"/>
      <c r="P437" s="14"/>
      <c r="Q437" s="14"/>
      <c r="R437" s="15"/>
      <c r="S437" s="15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ht="22.5" customHeight="1">
      <c r="A438" s="9">
        <v>46042.0</v>
      </c>
      <c r="B438" s="11" t="s">
        <v>636</v>
      </c>
      <c r="C438" s="16" t="s">
        <v>426</v>
      </c>
      <c r="D438" s="13" t="s">
        <v>1</v>
      </c>
      <c r="E438" s="13">
        <f t="shared" si="3"/>
        <v>1000000</v>
      </c>
      <c r="F438" s="13">
        <v>1000000.0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5"/>
      <c r="S438" s="15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ht="22.5" customHeight="1">
      <c r="A439" s="9">
        <v>46043.0</v>
      </c>
      <c r="B439" s="11" t="s">
        <v>228</v>
      </c>
      <c r="C439" s="16" t="s">
        <v>229</v>
      </c>
      <c r="D439" s="13" t="s">
        <v>58</v>
      </c>
      <c r="E439" s="13">
        <f t="shared" si="3"/>
        <v>19707625</v>
      </c>
      <c r="F439" s="14">
        <f>3055875+16651750</f>
        <v>19707625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5"/>
      <c r="S439" s="15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ht="22.5" customHeight="1">
      <c r="A440" s="9">
        <v>46043.0</v>
      </c>
      <c r="B440" s="11" t="s">
        <v>142</v>
      </c>
      <c r="C440" s="16" t="s">
        <v>62</v>
      </c>
      <c r="D440" s="13" t="s">
        <v>637</v>
      </c>
      <c r="E440" s="13">
        <f t="shared" si="3"/>
        <v>-10212075</v>
      </c>
      <c r="F440" s="13">
        <v>-1.0212075E7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5"/>
      <c r="S440" s="15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ht="22.5" customHeight="1">
      <c r="A441" s="9">
        <v>46044.0</v>
      </c>
      <c r="B441" s="11" t="s">
        <v>638</v>
      </c>
      <c r="C441" s="16" t="s">
        <v>639</v>
      </c>
      <c r="D441" s="13" t="s">
        <v>640</v>
      </c>
      <c r="E441" s="13">
        <f t="shared" si="3"/>
        <v>-2000</v>
      </c>
      <c r="F441" s="14"/>
      <c r="G441" s="14"/>
      <c r="H441" s="13">
        <v>-1502000.0</v>
      </c>
      <c r="I441" s="13">
        <v>2000.0</v>
      </c>
      <c r="J441" s="14"/>
      <c r="K441" s="14"/>
      <c r="L441" s="13">
        <v>1500000.0</v>
      </c>
      <c r="M441" s="14"/>
      <c r="N441" s="14"/>
      <c r="O441" s="14"/>
      <c r="P441" s="14"/>
      <c r="Q441" s="14"/>
      <c r="R441" s="15"/>
      <c r="S441" s="15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ht="22.5" customHeight="1">
      <c r="A442" s="9">
        <v>46044.0</v>
      </c>
      <c r="B442" s="11" t="s">
        <v>638</v>
      </c>
      <c r="C442" s="16" t="s">
        <v>639</v>
      </c>
      <c r="D442" s="13" t="s">
        <v>640</v>
      </c>
      <c r="E442" s="13">
        <f t="shared" si="3"/>
        <v>-2000</v>
      </c>
      <c r="F442" s="14"/>
      <c r="G442" s="14"/>
      <c r="H442" s="13">
        <v>-1202000.0</v>
      </c>
      <c r="I442" s="13">
        <v>2000.0</v>
      </c>
      <c r="J442" s="14"/>
      <c r="K442" s="14"/>
      <c r="L442" s="13">
        <v>1200000.0</v>
      </c>
      <c r="M442" s="14"/>
      <c r="N442" s="14"/>
      <c r="O442" s="14"/>
      <c r="P442" s="14"/>
      <c r="Q442" s="14"/>
      <c r="R442" s="15"/>
      <c r="S442" s="15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22.5" customHeight="1">
      <c r="A443" s="9">
        <v>46044.0</v>
      </c>
      <c r="B443" s="11" t="s">
        <v>638</v>
      </c>
      <c r="C443" s="16" t="s">
        <v>639</v>
      </c>
      <c r="D443" s="13" t="s">
        <v>640</v>
      </c>
      <c r="E443" s="13">
        <f t="shared" si="3"/>
        <v>-2000</v>
      </c>
      <c r="F443" s="14"/>
      <c r="G443" s="14"/>
      <c r="H443" s="13">
        <v>-802000.0</v>
      </c>
      <c r="I443" s="13">
        <v>2000.0</v>
      </c>
      <c r="J443" s="14"/>
      <c r="K443" s="14"/>
      <c r="L443" s="13">
        <v>800000.0</v>
      </c>
      <c r="M443" s="14"/>
      <c r="N443" s="14"/>
      <c r="O443" s="14"/>
      <c r="P443" s="14"/>
      <c r="Q443" s="14"/>
      <c r="R443" s="15"/>
      <c r="S443" s="15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22.5" customHeight="1">
      <c r="A444" s="9">
        <v>46044.0</v>
      </c>
      <c r="B444" s="11" t="s">
        <v>641</v>
      </c>
      <c r="C444" s="16" t="s">
        <v>639</v>
      </c>
      <c r="D444" s="13" t="s">
        <v>41</v>
      </c>
      <c r="E444" s="13">
        <f t="shared" si="3"/>
        <v>1200000</v>
      </c>
      <c r="F444" s="14"/>
      <c r="G444" s="14"/>
      <c r="H444" s="14"/>
      <c r="I444" s="14"/>
      <c r="J444" s="14"/>
      <c r="K444" s="14"/>
      <c r="L444" s="13">
        <v>1200000.0</v>
      </c>
      <c r="M444" s="14"/>
      <c r="N444" s="14"/>
      <c r="O444" s="14"/>
      <c r="P444" s="14"/>
      <c r="Q444" s="14"/>
      <c r="R444" s="15"/>
      <c r="S444" s="15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22.5" customHeight="1">
      <c r="A445" s="9">
        <v>46044.0</v>
      </c>
      <c r="B445" s="11" t="s">
        <v>642</v>
      </c>
      <c r="C445" s="16" t="s">
        <v>639</v>
      </c>
      <c r="D445" s="13" t="s">
        <v>41</v>
      </c>
      <c r="E445" s="13">
        <f t="shared" si="3"/>
        <v>-800000</v>
      </c>
      <c r="F445" s="14"/>
      <c r="G445" s="14"/>
      <c r="H445" s="14"/>
      <c r="I445" s="14"/>
      <c r="J445" s="14"/>
      <c r="K445" s="14"/>
      <c r="L445" s="13">
        <v>-800000.0</v>
      </c>
      <c r="M445" s="14"/>
      <c r="N445" s="14"/>
      <c r="O445" s="14"/>
      <c r="P445" s="14"/>
      <c r="Q445" s="14"/>
      <c r="R445" s="15"/>
      <c r="S445" s="15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22.5" customHeight="1">
      <c r="A446" s="9">
        <v>46044.0</v>
      </c>
      <c r="B446" s="11" t="s">
        <v>643</v>
      </c>
      <c r="C446" s="16" t="s">
        <v>80</v>
      </c>
      <c r="D446" s="13" t="s">
        <v>160</v>
      </c>
      <c r="E446" s="13">
        <f t="shared" si="3"/>
        <v>0</v>
      </c>
      <c r="F446" s="13">
        <v>-2.5E7</v>
      </c>
      <c r="G446" s="14"/>
      <c r="H446" s="13">
        <v>2.5E7</v>
      </c>
      <c r="I446" s="14"/>
      <c r="J446" s="14"/>
      <c r="K446" s="14"/>
      <c r="L446" s="14"/>
      <c r="M446" s="14"/>
      <c r="N446" s="14"/>
      <c r="O446" s="14"/>
      <c r="P446" s="14"/>
      <c r="Q446" s="14"/>
      <c r="R446" s="15"/>
      <c r="S446" s="15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22.5" customHeight="1">
      <c r="A447" s="9">
        <v>46045.0</v>
      </c>
      <c r="B447" s="11" t="s">
        <v>644</v>
      </c>
      <c r="C447" s="16" t="s">
        <v>645</v>
      </c>
      <c r="D447" s="13" t="s">
        <v>1</v>
      </c>
      <c r="E447" s="13">
        <f t="shared" si="3"/>
        <v>-2000000</v>
      </c>
      <c r="F447" s="14"/>
      <c r="G447" s="14"/>
      <c r="H447" s="13">
        <v>-2000000.0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5"/>
      <c r="S447" s="15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ht="22.5" customHeight="1">
      <c r="A448" s="9">
        <v>46045.0</v>
      </c>
      <c r="B448" s="11" t="s">
        <v>646</v>
      </c>
      <c r="C448" s="12" t="s">
        <v>82</v>
      </c>
      <c r="D448" s="18" t="s">
        <v>27</v>
      </c>
      <c r="E448" s="13">
        <f t="shared" si="3"/>
        <v>200000</v>
      </c>
      <c r="F448" s="13">
        <v>200000.0</v>
      </c>
      <c r="G448" s="14"/>
      <c r="H448" s="13"/>
      <c r="I448" s="14"/>
      <c r="J448" s="14"/>
      <c r="K448" s="14"/>
      <c r="L448" s="14"/>
      <c r="M448" s="14"/>
      <c r="N448" s="14"/>
      <c r="O448" s="14"/>
      <c r="P448" s="14"/>
      <c r="Q448" s="14"/>
      <c r="R448" s="15"/>
      <c r="S448" s="15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ht="22.5" customHeight="1">
      <c r="A449" s="9">
        <v>46047.0</v>
      </c>
      <c r="B449" s="11" t="s">
        <v>647</v>
      </c>
      <c r="C449" s="16" t="s">
        <v>456</v>
      </c>
      <c r="D449" s="13" t="s">
        <v>13</v>
      </c>
      <c r="E449" s="13">
        <f t="shared" si="3"/>
        <v>-378000</v>
      </c>
      <c r="F449" s="14"/>
      <c r="G449" s="14"/>
      <c r="H449" s="13"/>
      <c r="I449" s="14"/>
      <c r="J449" s="14">
        <f>-(130000 + 140000 + 90000 + 18000)</f>
        <v>-378000</v>
      </c>
      <c r="K449" s="14"/>
      <c r="L449" s="14"/>
      <c r="M449" s="14"/>
      <c r="N449" s="14"/>
      <c r="O449" s="14"/>
      <c r="P449" s="14"/>
      <c r="Q449" s="14"/>
      <c r="R449" s="15"/>
      <c r="S449" s="15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ht="22.5" customHeight="1">
      <c r="A450" s="9">
        <v>46049.0</v>
      </c>
      <c r="B450" s="11" t="s">
        <v>648</v>
      </c>
      <c r="C450" s="16" t="s">
        <v>9</v>
      </c>
      <c r="D450" s="13" t="s">
        <v>160</v>
      </c>
      <c r="E450" s="13">
        <f t="shared" si="3"/>
        <v>0</v>
      </c>
      <c r="F450" s="14"/>
      <c r="G450" s="14"/>
      <c r="H450" s="13">
        <v>-378000.0</v>
      </c>
      <c r="I450" s="14"/>
      <c r="J450" s="13">
        <v>378000.0</v>
      </c>
      <c r="K450" s="14"/>
      <c r="L450" s="14"/>
      <c r="M450" s="14"/>
      <c r="N450" s="14"/>
      <c r="O450" s="14"/>
      <c r="P450" s="14"/>
      <c r="Q450" s="14"/>
      <c r="R450" s="15"/>
      <c r="S450" s="15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22.5" customHeight="1">
      <c r="A451" s="9">
        <v>46050.0</v>
      </c>
      <c r="B451" s="11" t="s">
        <v>649</v>
      </c>
      <c r="C451" s="16" t="s">
        <v>650</v>
      </c>
      <c r="D451" s="13" t="s">
        <v>651</v>
      </c>
      <c r="E451" s="13">
        <f t="shared" si="3"/>
        <v>-6700326</v>
      </c>
      <c r="F451" s="14"/>
      <c r="G451" s="14"/>
      <c r="H451" s="13">
        <v>-6700326.0</v>
      </c>
      <c r="I451" s="13">
        <v>326.0</v>
      </c>
      <c r="J451" s="13"/>
      <c r="K451" s="14"/>
      <c r="L451" s="14"/>
      <c r="M451" s="14"/>
      <c r="N451" s="14"/>
      <c r="O451" s="14"/>
      <c r="P451" s="14"/>
      <c r="Q451" s="14"/>
      <c r="R451" s="15"/>
      <c r="S451" s="15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22.5" customHeight="1">
      <c r="A452" s="9">
        <v>46054.0</v>
      </c>
      <c r="B452" s="11" t="s">
        <v>652</v>
      </c>
      <c r="C452" s="16" t="s">
        <v>83</v>
      </c>
      <c r="D452" s="13" t="s">
        <v>27</v>
      </c>
      <c r="E452" s="13">
        <f t="shared" si="3"/>
        <v>800000</v>
      </c>
      <c r="F452" s="14"/>
      <c r="G452" s="14"/>
      <c r="H452" s="13">
        <v>800000.0</v>
      </c>
      <c r="I452" s="14"/>
      <c r="J452" s="14"/>
      <c r="K452" s="14"/>
      <c r="L452" s="14"/>
      <c r="M452" s="14"/>
      <c r="N452" s="14"/>
      <c r="O452" s="14"/>
      <c r="P452" s="14"/>
      <c r="Q452" s="14"/>
      <c r="R452" s="15"/>
      <c r="S452" s="15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22.5" customHeight="1">
      <c r="A453" s="9">
        <v>46056.0</v>
      </c>
      <c r="B453" s="11" t="s">
        <v>653</v>
      </c>
      <c r="C453" s="16" t="s">
        <v>456</v>
      </c>
      <c r="D453" s="13" t="s">
        <v>39</v>
      </c>
      <c r="E453" s="13">
        <f t="shared" si="3"/>
        <v>-604000</v>
      </c>
      <c r="F453" s="14"/>
      <c r="G453" s="14"/>
      <c r="H453" s="14"/>
      <c r="I453" s="14"/>
      <c r="J453" s="13">
        <v>-604000.0</v>
      </c>
      <c r="K453" s="14"/>
      <c r="L453" s="14"/>
      <c r="M453" s="14"/>
      <c r="N453" s="14"/>
      <c r="O453" s="14"/>
      <c r="P453" s="14"/>
      <c r="Q453" s="14"/>
      <c r="R453" s="15"/>
      <c r="S453" s="15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ht="22.5" customHeight="1">
      <c r="A454" s="9">
        <v>46056.0</v>
      </c>
      <c r="B454" s="11" t="s">
        <v>654</v>
      </c>
      <c r="C454" s="16" t="s">
        <v>9</v>
      </c>
      <c r="D454" s="13" t="s">
        <v>167</v>
      </c>
      <c r="E454" s="13">
        <f t="shared" si="3"/>
        <v>-1750000</v>
      </c>
      <c r="F454" s="14"/>
      <c r="G454" s="14"/>
      <c r="H454" s="13">
        <v>-1750000.0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5"/>
      <c r="S454" s="15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ht="22.5" customHeight="1">
      <c r="A455" s="9">
        <v>46056.0</v>
      </c>
      <c r="B455" s="11" t="s">
        <v>655</v>
      </c>
      <c r="C455" s="16" t="s">
        <v>391</v>
      </c>
      <c r="D455" s="13" t="s">
        <v>651</v>
      </c>
      <c r="E455" s="13">
        <f t="shared" si="3"/>
        <v>350000</v>
      </c>
      <c r="F455" s="14"/>
      <c r="G455" s="14"/>
      <c r="H455" s="13">
        <v>350000.0</v>
      </c>
      <c r="I455" s="14"/>
      <c r="J455" s="14"/>
      <c r="K455" s="14"/>
      <c r="L455" s="14"/>
      <c r="M455" s="14"/>
      <c r="N455" s="14"/>
      <c r="O455" s="14"/>
      <c r="P455" s="14"/>
      <c r="Q455" s="14"/>
      <c r="R455" s="15"/>
      <c r="S455" s="15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ht="22.5" customHeight="1">
      <c r="A456" s="9">
        <v>46056.0</v>
      </c>
      <c r="B456" s="11" t="s">
        <v>656</v>
      </c>
      <c r="C456" s="16" t="s">
        <v>650</v>
      </c>
      <c r="D456" s="13" t="s">
        <v>651</v>
      </c>
      <c r="E456" s="13">
        <f t="shared" si="3"/>
        <v>-850329</v>
      </c>
      <c r="F456" s="14"/>
      <c r="G456" s="14"/>
      <c r="H456" s="13">
        <v>-850329.0</v>
      </c>
      <c r="I456" s="13">
        <v>329.0</v>
      </c>
      <c r="J456" s="14"/>
      <c r="K456" s="14"/>
      <c r="L456" s="14"/>
      <c r="M456" s="14"/>
      <c r="N456" s="14"/>
      <c r="O456" s="14"/>
      <c r="P456" s="14"/>
      <c r="Q456" s="14"/>
      <c r="R456" s="15"/>
      <c r="S456" s="15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ht="22.5" customHeight="1">
      <c r="A457" s="9">
        <v>46056.0</v>
      </c>
      <c r="B457" s="11" t="s">
        <v>252</v>
      </c>
      <c r="C457" s="16" t="s">
        <v>9</v>
      </c>
      <c r="D457" s="13" t="s">
        <v>160</v>
      </c>
      <c r="E457" s="13">
        <f t="shared" si="3"/>
        <v>0</v>
      </c>
      <c r="F457" s="14"/>
      <c r="G457" s="14"/>
      <c r="H457" s="13">
        <v>-604000.0</v>
      </c>
      <c r="I457" s="14"/>
      <c r="J457" s="13">
        <v>604000.0</v>
      </c>
      <c r="K457" s="14"/>
      <c r="L457" s="14"/>
      <c r="M457" s="14"/>
      <c r="N457" s="14"/>
      <c r="O457" s="14"/>
      <c r="P457" s="14"/>
      <c r="Q457" s="14"/>
      <c r="R457" s="15"/>
      <c r="S457" s="15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ht="22.5" customHeight="1">
      <c r="A458" s="9">
        <v>46059.0</v>
      </c>
      <c r="B458" s="11" t="s">
        <v>638</v>
      </c>
      <c r="C458" s="16" t="s">
        <v>639</v>
      </c>
      <c r="D458" s="13" t="s">
        <v>640</v>
      </c>
      <c r="E458" s="13">
        <f t="shared" si="3"/>
        <v>-2000</v>
      </c>
      <c r="F458" s="14"/>
      <c r="G458" s="14"/>
      <c r="H458" s="13">
        <v>-752000.0</v>
      </c>
      <c r="I458" s="13"/>
      <c r="J458" s="14"/>
      <c r="K458" s="14"/>
      <c r="L458" s="13">
        <v>750000.0</v>
      </c>
      <c r="M458" s="14"/>
      <c r="N458" s="14"/>
      <c r="O458" s="14"/>
      <c r="P458" s="14"/>
      <c r="Q458" s="14"/>
      <c r="R458" s="15"/>
      <c r="S458" s="15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ht="22.5" customHeight="1">
      <c r="A459" s="9">
        <v>46059.0</v>
      </c>
      <c r="B459" s="11" t="s">
        <v>657</v>
      </c>
      <c r="C459" s="16" t="s">
        <v>639</v>
      </c>
      <c r="D459" s="13" t="s">
        <v>41</v>
      </c>
      <c r="E459" s="13">
        <f t="shared" si="3"/>
        <v>750000</v>
      </c>
      <c r="F459" s="14"/>
      <c r="G459" s="14"/>
      <c r="H459" s="13"/>
      <c r="I459" s="13"/>
      <c r="J459" s="14"/>
      <c r="K459" s="14"/>
      <c r="L459" s="13">
        <v>750000.0</v>
      </c>
      <c r="M459" s="14"/>
      <c r="N459" s="14"/>
      <c r="O459" s="14"/>
      <c r="P459" s="14"/>
      <c r="Q459" s="14"/>
      <c r="R459" s="15"/>
      <c r="S459" s="15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ht="22.5" customHeight="1">
      <c r="A460" s="9">
        <v>46061.0</v>
      </c>
      <c r="B460" s="11" t="s">
        <v>658</v>
      </c>
      <c r="C460" s="16" t="s">
        <v>324</v>
      </c>
      <c r="D460" s="13" t="s">
        <v>1</v>
      </c>
      <c r="E460" s="13">
        <f t="shared" si="3"/>
        <v>-500327</v>
      </c>
      <c r="F460" s="14"/>
      <c r="G460" s="14"/>
      <c r="H460" s="13">
        <v>-500327.0</v>
      </c>
      <c r="I460" s="13">
        <v>327.0</v>
      </c>
      <c r="J460" s="14"/>
      <c r="K460" s="14"/>
      <c r="L460" s="14"/>
      <c r="M460" s="14"/>
      <c r="N460" s="14"/>
      <c r="O460" s="14"/>
      <c r="P460" s="14"/>
      <c r="Q460" s="14"/>
      <c r="R460" s="15"/>
      <c r="S460" s="15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ht="22.5" customHeight="1">
      <c r="A461" s="9">
        <v>46065.0</v>
      </c>
      <c r="B461" s="11" t="s">
        <v>576</v>
      </c>
      <c r="C461" s="16" t="s">
        <v>9</v>
      </c>
      <c r="D461" s="13" t="s">
        <v>24</v>
      </c>
      <c r="E461" s="13">
        <f t="shared" si="3"/>
        <v>-103000</v>
      </c>
      <c r="F461" s="14"/>
      <c r="G461" s="14"/>
      <c r="H461" s="14"/>
      <c r="I461" s="14"/>
      <c r="J461" s="13">
        <v>-103000.0</v>
      </c>
      <c r="K461" s="14"/>
      <c r="L461" s="14"/>
      <c r="M461" s="14"/>
      <c r="N461" s="14"/>
      <c r="O461" s="14"/>
      <c r="P461" s="14"/>
      <c r="Q461" s="14"/>
      <c r="R461" s="15"/>
      <c r="S461" s="15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ht="22.5" customHeight="1">
      <c r="A462" s="9">
        <v>46065.0</v>
      </c>
      <c r="B462" s="11" t="s">
        <v>659</v>
      </c>
      <c r="C462" s="16" t="s">
        <v>650</v>
      </c>
      <c r="D462" s="13" t="s">
        <v>651</v>
      </c>
      <c r="E462" s="13">
        <f t="shared" si="3"/>
        <v>-500333</v>
      </c>
      <c r="F462" s="14"/>
      <c r="G462" s="14"/>
      <c r="H462" s="13">
        <v>-500333.0</v>
      </c>
      <c r="I462" s="13">
        <v>333.0</v>
      </c>
      <c r="J462" s="14"/>
      <c r="K462" s="14"/>
      <c r="L462" s="14"/>
      <c r="M462" s="14"/>
      <c r="N462" s="14"/>
      <c r="O462" s="14"/>
      <c r="P462" s="14"/>
      <c r="Q462" s="14"/>
      <c r="R462" s="15"/>
      <c r="S462" s="15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ht="22.5" customHeight="1">
      <c r="A463" s="9">
        <v>46067.0</v>
      </c>
      <c r="B463" s="11" t="s">
        <v>660</v>
      </c>
      <c r="C463" s="16" t="s">
        <v>650</v>
      </c>
      <c r="D463" s="13" t="s">
        <v>651</v>
      </c>
      <c r="E463" s="13">
        <f t="shared" si="3"/>
        <v>-350331</v>
      </c>
      <c r="F463" s="14"/>
      <c r="G463" s="14"/>
      <c r="H463" s="13">
        <v>-350331.0</v>
      </c>
      <c r="I463" s="13">
        <v>331.0</v>
      </c>
      <c r="J463" s="14"/>
      <c r="K463" s="14"/>
      <c r="L463" s="14"/>
      <c r="M463" s="14"/>
      <c r="N463" s="14"/>
      <c r="O463" s="14"/>
      <c r="P463" s="14"/>
      <c r="Q463" s="14"/>
      <c r="R463" s="15"/>
      <c r="S463" s="15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ht="22.5" customHeight="1">
      <c r="A464" s="9">
        <v>46068.0</v>
      </c>
      <c r="B464" s="11" t="s">
        <v>661</v>
      </c>
      <c r="C464" s="16" t="s">
        <v>76</v>
      </c>
      <c r="D464" s="13" t="s">
        <v>27</v>
      </c>
      <c r="E464" s="13">
        <f t="shared" si="3"/>
        <v>-1000345</v>
      </c>
      <c r="F464" s="13"/>
      <c r="G464" s="14"/>
      <c r="H464" s="13">
        <v>-1000345.0</v>
      </c>
      <c r="I464" s="13">
        <v>345.0</v>
      </c>
      <c r="J464" s="14"/>
      <c r="K464" s="14"/>
      <c r="L464" s="14"/>
      <c r="M464" s="14"/>
      <c r="N464" s="14"/>
      <c r="O464" s="14"/>
      <c r="P464" s="14"/>
      <c r="Q464" s="14"/>
      <c r="R464" s="15"/>
      <c r="S464" s="15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ht="22.5" customHeight="1">
      <c r="A465" s="9">
        <v>46070.0</v>
      </c>
      <c r="B465" s="11" t="s">
        <v>662</v>
      </c>
      <c r="C465" s="16" t="s">
        <v>650</v>
      </c>
      <c r="D465" s="13" t="s">
        <v>651</v>
      </c>
      <c r="E465" s="13">
        <f t="shared" si="3"/>
        <v>-300333</v>
      </c>
      <c r="F465" s="13"/>
      <c r="G465" s="14"/>
      <c r="H465" s="13">
        <v>-300333.0</v>
      </c>
      <c r="I465" s="13">
        <v>333.0</v>
      </c>
      <c r="J465" s="14"/>
      <c r="K465" s="14"/>
      <c r="L465" s="14"/>
      <c r="M465" s="14"/>
      <c r="N465" s="14"/>
      <c r="O465" s="14"/>
      <c r="P465" s="14"/>
      <c r="Q465" s="14"/>
      <c r="R465" s="15"/>
      <c r="S465" s="15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ht="22.5" customHeight="1">
      <c r="A466" s="9">
        <v>46071.0</v>
      </c>
      <c r="B466" s="11" t="s">
        <v>547</v>
      </c>
      <c r="C466" s="16" t="s">
        <v>62</v>
      </c>
      <c r="D466" s="13" t="s">
        <v>56</v>
      </c>
      <c r="E466" s="13">
        <f t="shared" si="3"/>
        <v>5000000</v>
      </c>
      <c r="F466" s="13">
        <v>5000000.0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5"/>
      <c r="S466" s="15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ht="22.5" customHeight="1">
      <c r="A467" s="9">
        <v>46071.0</v>
      </c>
      <c r="B467" s="11" t="s">
        <v>663</v>
      </c>
      <c r="C467" s="16" t="s">
        <v>10</v>
      </c>
      <c r="D467" s="13" t="s">
        <v>56</v>
      </c>
      <c r="E467" s="13">
        <f t="shared" si="3"/>
        <v>-3004326</v>
      </c>
      <c r="F467" s="13">
        <v>-3004326.0</v>
      </c>
      <c r="G467" s="14"/>
      <c r="H467" s="14"/>
      <c r="I467" s="13">
        <v>4326.0</v>
      </c>
      <c r="J467" s="14"/>
      <c r="K467" s="13">
        <v>3000000.0</v>
      </c>
      <c r="L467" s="14"/>
      <c r="M467" s="14"/>
      <c r="N467" s="14"/>
      <c r="O467" s="14"/>
      <c r="P467" s="14"/>
      <c r="Q467" s="14"/>
      <c r="R467" s="15"/>
      <c r="S467" s="15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ht="22.5" customHeight="1">
      <c r="A468" s="9">
        <v>46074.0</v>
      </c>
      <c r="B468" s="11" t="s">
        <v>228</v>
      </c>
      <c r="C468" s="16" t="s">
        <v>664</v>
      </c>
      <c r="D468" s="13" t="s">
        <v>58</v>
      </c>
      <c r="E468" s="13">
        <f t="shared" si="3"/>
        <v>9705000</v>
      </c>
      <c r="F468" s="13">
        <v>9705000.0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5"/>
      <c r="S468" s="15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ht="22.5" customHeight="1">
      <c r="A469" s="9">
        <v>46074.0</v>
      </c>
      <c r="B469" s="11" t="s">
        <v>142</v>
      </c>
      <c r="C469" s="16" t="s">
        <v>62</v>
      </c>
      <c r="D469" s="13" t="s">
        <v>58</v>
      </c>
      <c r="E469" s="13">
        <f t="shared" si="3"/>
        <v>-4608000</v>
      </c>
      <c r="F469" s="13">
        <v>-4608000.0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5"/>
      <c r="S469" s="15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ht="22.5" customHeight="1">
      <c r="A470" s="9">
        <v>46076.0</v>
      </c>
      <c r="B470" s="11" t="s">
        <v>665</v>
      </c>
      <c r="C470" s="16" t="s">
        <v>666</v>
      </c>
      <c r="D470" s="13" t="s">
        <v>40</v>
      </c>
      <c r="E470" s="13">
        <f t="shared" si="3"/>
        <v>300000</v>
      </c>
      <c r="F470" s="13">
        <v>300000.0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5"/>
      <c r="S470" s="15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ht="22.5" customHeight="1">
      <c r="A471" s="9">
        <v>46080.0</v>
      </c>
      <c r="B471" s="11" t="s">
        <v>667</v>
      </c>
      <c r="C471" s="16" t="s">
        <v>426</v>
      </c>
      <c r="D471" s="13" t="s">
        <v>13</v>
      </c>
      <c r="E471" s="13">
        <f t="shared" si="3"/>
        <v>185000</v>
      </c>
      <c r="F471" s="13">
        <v>1000000.0</v>
      </c>
      <c r="G471" s="14"/>
      <c r="H471" s="13">
        <v>-815000.0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5"/>
      <c r="S471" s="15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ht="22.5" customHeight="1">
      <c r="A472" s="9">
        <v>46081.0</v>
      </c>
      <c r="B472" s="11" t="s">
        <v>668</v>
      </c>
      <c r="C472" s="16" t="s">
        <v>666</v>
      </c>
      <c r="D472" s="13" t="s">
        <v>40</v>
      </c>
      <c r="E472" s="13">
        <f t="shared" si="3"/>
        <v>-300000</v>
      </c>
      <c r="F472" s="14"/>
      <c r="G472" s="14"/>
      <c r="H472" s="13">
        <v>-300000.0</v>
      </c>
      <c r="I472" s="14"/>
      <c r="J472" s="14"/>
      <c r="K472" s="14"/>
      <c r="L472" s="14"/>
      <c r="M472" s="14"/>
      <c r="N472" s="14"/>
      <c r="O472" s="14"/>
      <c r="P472" s="14"/>
      <c r="Q472" s="14"/>
      <c r="R472" s="15"/>
      <c r="S472" s="15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ht="22.5" customHeight="1">
      <c r="A473" s="9">
        <v>46081.0</v>
      </c>
      <c r="B473" s="11" t="s">
        <v>669</v>
      </c>
      <c r="C473" s="16" t="s">
        <v>264</v>
      </c>
      <c r="D473" s="13" t="s">
        <v>670</v>
      </c>
      <c r="E473" s="13">
        <f t="shared" si="3"/>
        <v>-200326</v>
      </c>
      <c r="F473" s="14"/>
      <c r="G473" s="14"/>
      <c r="H473" s="13">
        <v>-200326.0</v>
      </c>
      <c r="I473" s="13">
        <v>326.0</v>
      </c>
      <c r="J473" s="14"/>
      <c r="K473" s="14"/>
      <c r="L473" s="14"/>
      <c r="M473" s="14"/>
      <c r="N473" s="14"/>
      <c r="O473" s="14"/>
      <c r="P473" s="14"/>
      <c r="Q473" s="14"/>
      <c r="R473" s="15"/>
      <c r="S473" s="15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ht="22.5" customHeight="1">
      <c r="A474" s="9">
        <v>46082.0</v>
      </c>
      <c r="B474" s="11" t="s">
        <v>576</v>
      </c>
      <c r="C474" s="16" t="s">
        <v>9</v>
      </c>
      <c r="D474" s="13" t="s">
        <v>24</v>
      </c>
      <c r="E474" s="13">
        <f t="shared" si="3"/>
        <v>-103000</v>
      </c>
      <c r="F474" s="14"/>
      <c r="G474" s="14"/>
      <c r="H474" s="14"/>
      <c r="I474" s="14"/>
      <c r="J474" s="13">
        <v>-103000.0</v>
      </c>
      <c r="K474" s="14"/>
      <c r="L474" s="14"/>
      <c r="M474" s="14"/>
      <c r="N474" s="14"/>
      <c r="O474" s="14"/>
      <c r="P474" s="14"/>
      <c r="Q474" s="14"/>
      <c r="R474" s="15"/>
      <c r="S474" s="15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ht="22.5" customHeight="1">
      <c r="A475" s="9">
        <v>46082.0</v>
      </c>
      <c r="B475" s="11" t="s">
        <v>671</v>
      </c>
      <c r="C475" s="16" t="s">
        <v>9</v>
      </c>
      <c r="D475" s="13" t="s">
        <v>167</v>
      </c>
      <c r="E475" s="13">
        <f t="shared" si="3"/>
        <v>-1750000</v>
      </c>
      <c r="F475" s="14"/>
      <c r="G475" s="14"/>
      <c r="H475" s="13">
        <v>-1750000.0</v>
      </c>
      <c r="I475" s="14"/>
      <c r="J475" s="14"/>
      <c r="K475" s="14"/>
      <c r="L475" s="14"/>
      <c r="M475" s="14"/>
      <c r="N475" s="14"/>
      <c r="O475" s="14"/>
      <c r="P475" s="14"/>
      <c r="Q475" s="14"/>
      <c r="R475" s="15"/>
      <c r="S475" s="15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ht="22.5" customHeight="1">
      <c r="A476" s="9">
        <v>46087.0</v>
      </c>
      <c r="B476" s="11" t="s">
        <v>672</v>
      </c>
      <c r="C476" s="16" t="s">
        <v>9</v>
      </c>
      <c r="D476" s="13" t="s">
        <v>24</v>
      </c>
      <c r="E476" s="13">
        <f t="shared" si="3"/>
        <v>-300000</v>
      </c>
      <c r="F476" s="14"/>
      <c r="G476" s="14"/>
      <c r="H476" s="14"/>
      <c r="I476" s="14"/>
      <c r="J476" s="13">
        <v>-300000.0</v>
      </c>
      <c r="K476" s="14"/>
      <c r="L476" s="14"/>
      <c r="M476" s="14"/>
      <c r="N476" s="14"/>
      <c r="O476" s="14"/>
      <c r="P476" s="14"/>
      <c r="Q476" s="14"/>
      <c r="R476" s="15"/>
      <c r="S476" s="15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ht="22.5" customHeight="1">
      <c r="A477" s="9">
        <v>46088.0</v>
      </c>
      <c r="B477" s="11" t="s">
        <v>673</v>
      </c>
      <c r="C477" s="16" t="s">
        <v>9</v>
      </c>
      <c r="D477" s="13" t="s">
        <v>24</v>
      </c>
      <c r="E477" s="13">
        <f t="shared" si="3"/>
        <v>-333000</v>
      </c>
      <c r="F477" s="14"/>
      <c r="G477" s="14"/>
      <c r="H477" s="14"/>
      <c r="I477" s="14"/>
      <c r="J477" s="13">
        <v>-333000.0</v>
      </c>
      <c r="K477" s="14"/>
      <c r="L477" s="14"/>
      <c r="M477" s="14"/>
      <c r="N477" s="14"/>
      <c r="O477" s="14"/>
      <c r="P477" s="14"/>
      <c r="Q477" s="14"/>
      <c r="R477" s="15"/>
      <c r="S477" s="15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ht="22.5" customHeight="1">
      <c r="A478" s="9">
        <v>46088.0</v>
      </c>
      <c r="B478" s="11" t="s">
        <v>674</v>
      </c>
      <c r="C478" s="16" t="s">
        <v>675</v>
      </c>
      <c r="D478" s="13" t="s">
        <v>1</v>
      </c>
      <c r="E478" s="13">
        <f t="shared" si="3"/>
        <v>-1000000</v>
      </c>
      <c r="F478" s="14"/>
      <c r="G478" s="14"/>
      <c r="H478" s="13">
        <v>-1000000.0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5"/>
      <c r="S478" s="15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ht="22.5" customHeight="1">
      <c r="A479" s="9">
        <v>46088.0</v>
      </c>
      <c r="B479" s="11" t="s">
        <v>676</v>
      </c>
      <c r="C479" s="16" t="s">
        <v>9</v>
      </c>
      <c r="D479" s="13" t="s">
        <v>1</v>
      </c>
      <c r="E479" s="13">
        <f t="shared" si="3"/>
        <v>-87000</v>
      </c>
      <c r="F479" s="14"/>
      <c r="G479" s="14"/>
      <c r="H479" s="14"/>
      <c r="I479" s="14"/>
      <c r="J479" s="13">
        <v>-87000.0</v>
      </c>
      <c r="K479" s="14"/>
      <c r="L479" s="14"/>
      <c r="M479" s="14"/>
      <c r="N479" s="14"/>
      <c r="O479" s="14"/>
      <c r="P479" s="14"/>
      <c r="Q479" s="14"/>
      <c r="R479" s="15"/>
      <c r="S479" s="15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ht="22.5" customHeight="1">
      <c r="A480" s="9">
        <v>46088.0</v>
      </c>
      <c r="B480" s="11" t="s">
        <v>253</v>
      </c>
      <c r="C480" s="16" t="s">
        <v>80</v>
      </c>
      <c r="D480" s="13" t="s">
        <v>160</v>
      </c>
      <c r="E480" s="13">
        <f t="shared" si="3"/>
        <v>0</v>
      </c>
      <c r="F480" s="13">
        <v>-1.0E7</v>
      </c>
      <c r="G480" s="14"/>
      <c r="H480" s="13">
        <v>1.0E7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5"/>
      <c r="S480" s="15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ht="22.5" customHeight="1">
      <c r="A481" s="9">
        <v>46090.0</v>
      </c>
      <c r="B481" s="11" t="s">
        <v>576</v>
      </c>
      <c r="C481" s="16" t="s">
        <v>9</v>
      </c>
      <c r="D481" s="13" t="s">
        <v>24</v>
      </c>
      <c r="E481" s="13">
        <f t="shared" si="3"/>
        <v>-103000</v>
      </c>
      <c r="F481" s="14"/>
      <c r="G481" s="14"/>
      <c r="H481" s="14"/>
      <c r="I481" s="14"/>
      <c r="J481" s="13">
        <v>-103000.0</v>
      </c>
      <c r="K481" s="14"/>
      <c r="L481" s="14"/>
      <c r="M481" s="14"/>
      <c r="N481" s="14"/>
      <c r="O481" s="14"/>
      <c r="P481" s="14"/>
      <c r="Q481" s="14"/>
      <c r="R481" s="15"/>
      <c r="S481" s="15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ht="22.5" customHeight="1">
      <c r="A482" s="9">
        <v>46090.0</v>
      </c>
      <c r="B482" s="11" t="s">
        <v>677</v>
      </c>
      <c r="C482" s="16" t="s">
        <v>9</v>
      </c>
      <c r="D482" s="13" t="s">
        <v>13</v>
      </c>
      <c r="E482" s="13">
        <f t="shared" si="3"/>
        <v>-390000</v>
      </c>
      <c r="F482" s="14"/>
      <c r="G482" s="14"/>
      <c r="H482" s="14"/>
      <c r="I482" s="14"/>
      <c r="J482" s="13">
        <v>-390000.0</v>
      </c>
      <c r="K482" s="14"/>
      <c r="L482" s="14"/>
      <c r="M482" s="14"/>
      <c r="N482" s="14"/>
      <c r="O482" s="14"/>
      <c r="P482" s="14"/>
      <c r="Q482" s="14"/>
      <c r="R482" s="15"/>
      <c r="S482" s="15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ht="22.5" customHeight="1">
      <c r="A483" s="9">
        <v>46091.0</v>
      </c>
      <c r="B483" s="11" t="s">
        <v>678</v>
      </c>
      <c r="C483" s="16" t="s">
        <v>9</v>
      </c>
      <c r="D483" s="13" t="s">
        <v>39</v>
      </c>
      <c r="E483" s="13">
        <f t="shared" si="3"/>
        <v>-250000</v>
      </c>
      <c r="F483" s="14"/>
      <c r="G483" s="14"/>
      <c r="H483" s="14"/>
      <c r="I483" s="14"/>
      <c r="J483" s="13">
        <v>-250000.0</v>
      </c>
      <c r="K483" s="14"/>
      <c r="L483" s="14"/>
      <c r="M483" s="14"/>
      <c r="N483" s="14"/>
      <c r="O483" s="14"/>
      <c r="P483" s="14"/>
      <c r="Q483" s="14"/>
      <c r="R483" s="15"/>
      <c r="S483" s="15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ht="22.5" customHeight="1">
      <c r="A484" s="9">
        <v>46091.0</v>
      </c>
      <c r="B484" s="11" t="s">
        <v>679</v>
      </c>
      <c r="C484" s="16" t="s">
        <v>680</v>
      </c>
      <c r="D484" s="13" t="s">
        <v>1</v>
      </c>
      <c r="E484" s="13">
        <f t="shared" si="3"/>
        <v>-1000352</v>
      </c>
      <c r="F484" s="14"/>
      <c r="G484" s="14"/>
      <c r="H484" s="13">
        <v>-1000352.0</v>
      </c>
      <c r="I484" s="13">
        <v>352.0</v>
      </c>
      <c r="J484" s="14"/>
      <c r="K484" s="14"/>
      <c r="L484" s="14"/>
      <c r="M484" s="14"/>
      <c r="N484" s="14"/>
      <c r="O484" s="14"/>
      <c r="P484" s="14"/>
      <c r="Q484" s="14"/>
      <c r="R484" s="15"/>
      <c r="S484" s="15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ht="22.5" customHeight="1">
      <c r="A485" s="9">
        <v>46091.0</v>
      </c>
      <c r="B485" s="11" t="s">
        <v>681</v>
      </c>
      <c r="C485" s="16" t="s">
        <v>579</v>
      </c>
      <c r="D485" s="13" t="s">
        <v>1</v>
      </c>
      <c r="E485" s="13">
        <f t="shared" si="3"/>
        <v>-1000000</v>
      </c>
      <c r="F485" s="14"/>
      <c r="G485" s="14"/>
      <c r="H485" s="13">
        <v>-1000000.0</v>
      </c>
      <c r="I485" s="14"/>
      <c r="J485" s="14"/>
      <c r="K485" s="14"/>
      <c r="L485" s="14"/>
      <c r="M485" s="14"/>
      <c r="N485" s="14"/>
      <c r="O485" s="14"/>
      <c r="P485" s="14"/>
      <c r="Q485" s="14"/>
      <c r="R485" s="15"/>
      <c r="S485" s="15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ht="22.5" customHeight="1">
      <c r="A486" s="9">
        <v>46091.0</v>
      </c>
      <c r="B486" s="11" t="s">
        <v>682</v>
      </c>
      <c r="C486" s="16" t="s">
        <v>9</v>
      </c>
      <c r="D486" s="13" t="s">
        <v>37</v>
      </c>
      <c r="E486" s="13">
        <f t="shared" si="3"/>
        <v>-300000</v>
      </c>
      <c r="F486" s="14"/>
      <c r="G486" s="14"/>
      <c r="H486" s="14"/>
      <c r="I486" s="14"/>
      <c r="J486" s="13">
        <v>-300000.0</v>
      </c>
      <c r="K486" s="14"/>
      <c r="L486" s="14"/>
      <c r="M486" s="14"/>
      <c r="N486" s="14"/>
      <c r="O486" s="14"/>
      <c r="P486" s="14"/>
      <c r="Q486" s="14"/>
      <c r="R486" s="15"/>
      <c r="S486" s="15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ht="22.5" customHeight="1">
      <c r="A487" s="9">
        <v>46092.0</v>
      </c>
      <c r="B487" s="11" t="s">
        <v>252</v>
      </c>
      <c r="C487" s="16" t="s">
        <v>9</v>
      </c>
      <c r="D487" s="13" t="s">
        <v>160</v>
      </c>
      <c r="E487" s="13">
        <f t="shared" si="3"/>
        <v>0</v>
      </c>
      <c r="F487" s="14"/>
      <c r="G487" s="14"/>
      <c r="H487" s="13">
        <v>-1669000.0</v>
      </c>
      <c r="I487" s="14"/>
      <c r="J487" s="13">
        <v>1669000.0</v>
      </c>
      <c r="K487" s="14"/>
      <c r="L487" s="14"/>
      <c r="M487" s="14"/>
      <c r="N487" s="14"/>
      <c r="O487" s="14"/>
      <c r="P487" s="14"/>
      <c r="Q487" s="14"/>
      <c r="R487" s="15"/>
      <c r="S487" s="15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ht="22.5" customHeight="1">
      <c r="A488" s="9">
        <v>46092.0</v>
      </c>
      <c r="B488" s="11" t="s">
        <v>683</v>
      </c>
      <c r="C488" s="16" t="s">
        <v>62</v>
      </c>
      <c r="D488" s="13" t="s">
        <v>56</v>
      </c>
      <c r="E488" s="13">
        <f t="shared" si="3"/>
        <v>5000000</v>
      </c>
      <c r="F488" s="13">
        <v>5000000.0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5"/>
      <c r="S488" s="15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ht="22.5" customHeight="1">
      <c r="A489" s="9">
        <v>46094.0</v>
      </c>
      <c r="B489" s="11" t="s">
        <v>684</v>
      </c>
      <c r="C489" s="16" t="s">
        <v>9</v>
      </c>
      <c r="D489" s="13" t="s">
        <v>1</v>
      </c>
      <c r="E489" s="13">
        <f t="shared" si="3"/>
        <v>-400000</v>
      </c>
      <c r="F489" s="14"/>
      <c r="G489" s="14"/>
      <c r="H489" s="14"/>
      <c r="I489" s="14"/>
      <c r="J489" s="13">
        <v>-400000.0</v>
      </c>
      <c r="K489" s="14"/>
      <c r="L489" s="14"/>
      <c r="M489" s="14"/>
      <c r="N489" s="14"/>
      <c r="O489" s="14"/>
      <c r="P489" s="14"/>
      <c r="Q489" s="14"/>
      <c r="R489" s="15"/>
      <c r="S489" s="15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ht="22.5" customHeight="1">
      <c r="A490" s="9">
        <v>46095.0</v>
      </c>
      <c r="B490" s="11" t="s">
        <v>685</v>
      </c>
      <c r="C490" s="16" t="s">
        <v>9</v>
      </c>
      <c r="D490" s="13" t="s">
        <v>1</v>
      </c>
      <c r="E490" s="13">
        <f t="shared" si="3"/>
        <v>-450000</v>
      </c>
      <c r="F490" s="14"/>
      <c r="G490" s="14"/>
      <c r="H490" s="14"/>
      <c r="I490" s="14"/>
      <c r="J490" s="13">
        <v>-450000.0</v>
      </c>
      <c r="K490" s="14"/>
      <c r="L490" s="14"/>
      <c r="M490" s="14"/>
      <c r="N490" s="14"/>
      <c r="O490" s="14"/>
      <c r="P490" s="14"/>
      <c r="Q490" s="14"/>
      <c r="R490" s="15"/>
      <c r="S490" s="15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ht="22.5" customHeight="1">
      <c r="A491" s="9">
        <v>46095.0</v>
      </c>
      <c r="B491" s="11" t="s">
        <v>252</v>
      </c>
      <c r="C491" s="16" t="s">
        <v>9</v>
      </c>
      <c r="D491" s="13" t="s">
        <v>160</v>
      </c>
      <c r="E491" s="13">
        <f t="shared" si="3"/>
        <v>0</v>
      </c>
      <c r="F491" s="14"/>
      <c r="G491" s="14"/>
      <c r="H491" s="13">
        <v>-1150000.0</v>
      </c>
      <c r="I491" s="14"/>
      <c r="J491" s="13">
        <v>1150000.0</v>
      </c>
      <c r="K491" s="14"/>
      <c r="L491" s="14"/>
      <c r="M491" s="14"/>
      <c r="N491" s="14"/>
      <c r="O491" s="14"/>
      <c r="P491" s="14"/>
      <c r="Q491" s="14"/>
      <c r="R491" s="15"/>
      <c r="S491" s="15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ht="22.5" customHeight="1">
      <c r="A492" s="9">
        <v>46095.0</v>
      </c>
      <c r="B492" s="11" t="s">
        <v>663</v>
      </c>
      <c r="C492" s="16" t="s">
        <v>10</v>
      </c>
      <c r="D492" s="13" t="s">
        <v>56</v>
      </c>
      <c r="E492" s="13">
        <f t="shared" si="3"/>
        <v>-3000331</v>
      </c>
      <c r="F492" s="13">
        <v>-3000331.0</v>
      </c>
      <c r="G492" s="14"/>
      <c r="H492" s="14"/>
      <c r="I492" s="13">
        <v>331.0</v>
      </c>
      <c r="J492" s="14"/>
      <c r="K492" s="13">
        <v>3000000.0</v>
      </c>
      <c r="L492" s="14"/>
      <c r="M492" s="14"/>
      <c r="N492" s="14"/>
      <c r="O492" s="14"/>
      <c r="P492" s="14"/>
      <c r="Q492" s="14"/>
      <c r="R492" s="15"/>
      <c r="S492" s="15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ht="22.5" customHeight="1">
      <c r="A493" s="9">
        <v>46096.0</v>
      </c>
      <c r="B493" s="11" t="s">
        <v>686</v>
      </c>
      <c r="C493" s="16" t="s">
        <v>687</v>
      </c>
      <c r="D493" s="13" t="s">
        <v>688</v>
      </c>
      <c r="E493" s="13">
        <f t="shared" si="3"/>
        <v>-150000</v>
      </c>
      <c r="F493" s="14"/>
      <c r="G493" s="14"/>
      <c r="H493" s="13">
        <v>-150000.0</v>
      </c>
      <c r="I493" s="14"/>
      <c r="J493" s="14"/>
      <c r="K493" s="14"/>
      <c r="L493" s="14"/>
      <c r="M493" s="14"/>
      <c r="N493" s="14"/>
      <c r="O493" s="14"/>
      <c r="P493" s="14"/>
      <c r="Q493" s="14"/>
      <c r="R493" s="15"/>
      <c r="S493" s="15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ht="22.5" customHeight="1">
      <c r="A494" s="9">
        <v>46096.0</v>
      </c>
      <c r="B494" s="11" t="s">
        <v>689</v>
      </c>
      <c r="C494" s="16" t="s">
        <v>690</v>
      </c>
      <c r="D494" s="13" t="s">
        <v>616</v>
      </c>
      <c r="E494" s="13">
        <f t="shared" si="3"/>
        <v>-300000</v>
      </c>
      <c r="F494" s="14"/>
      <c r="G494" s="14"/>
      <c r="H494" s="13">
        <v>-300000.0</v>
      </c>
      <c r="I494" s="14"/>
      <c r="J494" s="14"/>
      <c r="K494" s="14"/>
      <c r="L494" s="14"/>
      <c r="M494" s="14"/>
      <c r="N494" s="14"/>
      <c r="O494" s="14"/>
      <c r="P494" s="14"/>
      <c r="Q494" s="14"/>
      <c r="R494" s="15"/>
      <c r="S494" s="15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ht="22.5" customHeight="1">
      <c r="A495" s="9">
        <v>46097.0</v>
      </c>
      <c r="B495" s="11" t="s">
        <v>691</v>
      </c>
      <c r="C495" s="16" t="s">
        <v>692</v>
      </c>
      <c r="D495" s="13" t="s">
        <v>1</v>
      </c>
      <c r="E495" s="13">
        <f t="shared" si="3"/>
        <v>-3500332</v>
      </c>
      <c r="F495" s="14"/>
      <c r="G495" s="14"/>
      <c r="H495" s="13">
        <v>-3500332.0</v>
      </c>
      <c r="I495" s="13">
        <v>332.0</v>
      </c>
      <c r="J495" s="14"/>
      <c r="K495" s="14"/>
      <c r="L495" s="14"/>
      <c r="M495" s="14"/>
      <c r="N495" s="14"/>
      <c r="O495" s="14"/>
      <c r="P495" s="14"/>
      <c r="Q495" s="14"/>
      <c r="R495" s="15"/>
      <c r="S495" s="15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ht="22.5" customHeight="1">
      <c r="A496" s="9">
        <v>46097.0</v>
      </c>
      <c r="B496" s="11" t="s">
        <v>693</v>
      </c>
      <c r="C496" s="16" t="s">
        <v>80</v>
      </c>
      <c r="D496" s="13" t="s">
        <v>694</v>
      </c>
      <c r="E496" s="13">
        <f t="shared" si="3"/>
        <v>2000000</v>
      </c>
      <c r="F496" s="14"/>
      <c r="G496" s="14"/>
      <c r="H496" s="13">
        <v>2000000.0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5"/>
      <c r="S496" s="15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ht="22.5" customHeight="1">
      <c r="A497" s="9">
        <v>46097.0</v>
      </c>
      <c r="B497" s="11" t="s">
        <v>695</v>
      </c>
      <c r="C497" s="16" t="s">
        <v>111</v>
      </c>
      <c r="D497" s="13" t="s">
        <v>688</v>
      </c>
      <c r="E497" s="13">
        <f t="shared" si="3"/>
        <v>-13125</v>
      </c>
      <c r="F497" s="14"/>
      <c r="G497" s="14"/>
      <c r="H497" s="13">
        <v>-13125.0</v>
      </c>
      <c r="I497" s="14"/>
      <c r="J497" s="14"/>
      <c r="K497" s="14"/>
      <c r="L497" s="14"/>
      <c r="M497" s="14"/>
      <c r="N497" s="14"/>
      <c r="O497" s="14"/>
      <c r="P497" s="14"/>
      <c r="Q497" s="14"/>
      <c r="R497" s="15"/>
      <c r="S497" s="15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ht="22.5" customHeight="1">
      <c r="A498" s="9">
        <v>46098.0</v>
      </c>
      <c r="B498" s="11" t="s">
        <v>696</v>
      </c>
      <c r="C498" s="16" t="s">
        <v>9</v>
      </c>
      <c r="D498" s="13" t="s">
        <v>1</v>
      </c>
      <c r="E498" s="13">
        <f t="shared" si="3"/>
        <v>-1287000</v>
      </c>
      <c r="F498" s="14"/>
      <c r="G498" s="14"/>
      <c r="H498" s="14"/>
      <c r="I498" s="14"/>
      <c r="J498" s="13">
        <v>-1287000.0</v>
      </c>
      <c r="K498" s="14"/>
      <c r="L498" s="14"/>
      <c r="M498" s="14"/>
      <c r="N498" s="14"/>
      <c r="O498" s="14"/>
      <c r="P498" s="14"/>
      <c r="Q498" s="14"/>
      <c r="R498" s="15"/>
      <c r="S498" s="15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ht="22.5" customHeight="1">
      <c r="A499" s="9">
        <v>46098.0</v>
      </c>
      <c r="B499" s="11" t="s">
        <v>697</v>
      </c>
      <c r="C499" s="16" t="s">
        <v>690</v>
      </c>
      <c r="D499" s="13" t="s">
        <v>688</v>
      </c>
      <c r="E499" s="13">
        <f t="shared" si="3"/>
        <v>300000</v>
      </c>
      <c r="F499" s="14"/>
      <c r="G499" s="14"/>
      <c r="H499" s="13">
        <v>300000.0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5"/>
      <c r="S499" s="15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ht="22.5" customHeight="1">
      <c r="A500" s="9">
        <v>46098.0</v>
      </c>
      <c r="B500" s="11" t="s">
        <v>253</v>
      </c>
      <c r="C500" s="12"/>
      <c r="D500" s="13" t="s">
        <v>160</v>
      </c>
      <c r="E500" s="13">
        <f t="shared" si="3"/>
        <v>0</v>
      </c>
      <c r="F500" s="13">
        <v>-1.0E7</v>
      </c>
      <c r="G500" s="14"/>
      <c r="H500" s="13">
        <v>1.0E7</v>
      </c>
      <c r="I500" s="14"/>
      <c r="J500" s="14"/>
      <c r="K500" s="14"/>
      <c r="L500" s="14"/>
      <c r="M500" s="14"/>
      <c r="N500" s="14"/>
      <c r="O500" s="14"/>
      <c r="P500" s="14"/>
      <c r="Q500" s="14"/>
      <c r="R500" s="15"/>
      <c r="S500" s="15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22.5" customHeight="1">
      <c r="A501" s="9">
        <v>46099.0</v>
      </c>
      <c r="B501" s="11" t="s">
        <v>698</v>
      </c>
      <c r="C501" s="16" t="s">
        <v>74</v>
      </c>
      <c r="D501" s="13" t="s">
        <v>699</v>
      </c>
      <c r="E501" s="13">
        <f t="shared" si="3"/>
        <v>-500000</v>
      </c>
      <c r="F501" s="14"/>
      <c r="G501" s="14"/>
      <c r="H501" s="13">
        <v>-500000.0</v>
      </c>
      <c r="I501" s="14"/>
      <c r="J501" s="14"/>
      <c r="K501" s="14"/>
      <c r="L501" s="14"/>
      <c r="M501" s="14"/>
      <c r="N501" s="14"/>
      <c r="O501" s="14"/>
      <c r="P501" s="14"/>
      <c r="Q501" s="14"/>
      <c r="R501" s="15"/>
      <c r="S501" s="15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22.5" customHeight="1">
      <c r="A502" s="9">
        <v>46099.0</v>
      </c>
      <c r="B502" s="11" t="s">
        <v>700</v>
      </c>
      <c r="C502" s="16" t="s">
        <v>74</v>
      </c>
      <c r="D502" s="13" t="s">
        <v>1</v>
      </c>
      <c r="E502" s="13">
        <f t="shared" si="3"/>
        <v>3500000</v>
      </c>
      <c r="F502" s="14"/>
      <c r="G502" s="14"/>
      <c r="H502" s="13">
        <v>3500000.0</v>
      </c>
      <c r="I502" s="14"/>
      <c r="J502" s="14"/>
      <c r="K502" s="14"/>
      <c r="L502" s="14"/>
      <c r="M502" s="14"/>
      <c r="N502" s="14"/>
      <c r="O502" s="14"/>
      <c r="P502" s="14"/>
      <c r="Q502" s="14"/>
      <c r="R502" s="15"/>
      <c r="S502" s="15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22.5" customHeight="1">
      <c r="A503" s="9">
        <v>46099.0</v>
      </c>
      <c r="B503" s="11" t="s">
        <v>701</v>
      </c>
      <c r="C503" s="16" t="s">
        <v>80</v>
      </c>
      <c r="D503" s="13" t="s">
        <v>694</v>
      </c>
      <c r="E503" s="13">
        <f t="shared" si="3"/>
        <v>-2000000</v>
      </c>
      <c r="F503" s="14"/>
      <c r="G503" s="14"/>
      <c r="H503" s="13">
        <v>-2000000.0</v>
      </c>
      <c r="I503" s="14"/>
      <c r="J503" s="14"/>
      <c r="K503" s="14"/>
      <c r="L503" s="14"/>
      <c r="M503" s="14"/>
      <c r="N503" s="14"/>
      <c r="O503" s="14"/>
      <c r="P503" s="14"/>
      <c r="Q503" s="14"/>
      <c r="R503" s="15"/>
      <c r="S503" s="15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ht="22.5" customHeight="1">
      <c r="A504" s="9">
        <v>46099.0</v>
      </c>
      <c r="B504" s="11" t="s">
        <v>702</v>
      </c>
      <c r="C504" s="16" t="s">
        <v>9</v>
      </c>
      <c r="D504" s="13" t="s">
        <v>160</v>
      </c>
      <c r="E504" s="13">
        <f t="shared" si="3"/>
        <v>0</v>
      </c>
      <c r="F504" s="14"/>
      <c r="G504" s="14"/>
      <c r="H504" s="13">
        <v>-1287000.0</v>
      </c>
      <c r="I504" s="14"/>
      <c r="J504" s="13">
        <v>1287000.0</v>
      </c>
      <c r="K504" s="14"/>
      <c r="L504" s="14"/>
      <c r="M504" s="14"/>
      <c r="N504" s="14"/>
      <c r="O504" s="14"/>
      <c r="P504" s="14"/>
      <c r="Q504" s="14"/>
      <c r="R504" s="15"/>
      <c r="S504" s="15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22.5" customHeight="1">
      <c r="A505" s="9">
        <v>46101.0</v>
      </c>
      <c r="B505" s="11" t="s">
        <v>703</v>
      </c>
      <c r="C505" s="16" t="s">
        <v>704</v>
      </c>
      <c r="D505" s="13" t="s">
        <v>40</v>
      </c>
      <c r="E505" s="13">
        <f t="shared" si="3"/>
        <v>200000</v>
      </c>
      <c r="F505" s="13">
        <v>200000.0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5"/>
      <c r="S505" s="15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22.5" customHeight="1">
      <c r="A506" s="9">
        <v>46102.0</v>
      </c>
      <c r="B506" s="11" t="s">
        <v>646</v>
      </c>
      <c r="C506" s="12" t="s">
        <v>82</v>
      </c>
      <c r="D506" s="18" t="s">
        <v>27</v>
      </c>
      <c r="E506" s="13">
        <f t="shared" si="3"/>
        <v>400000</v>
      </c>
      <c r="F506" s="13">
        <v>400000.0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5"/>
      <c r="S506" s="15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22.5" customHeight="1">
      <c r="A507" s="9">
        <v>46103.0</v>
      </c>
      <c r="B507" s="11" t="s">
        <v>705</v>
      </c>
      <c r="C507" s="16" t="s">
        <v>706</v>
      </c>
      <c r="D507" s="13" t="s">
        <v>58</v>
      </c>
      <c r="E507" s="13">
        <f t="shared" si="3"/>
        <v>17466625</v>
      </c>
      <c r="F507" s="13">
        <v>1.7466625E7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5"/>
      <c r="S507" s="15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ht="22.5" customHeight="1">
      <c r="A508" s="9">
        <v>46103.0</v>
      </c>
      <c r="B508" s="11" t="s">
        <v>142</v>
      </c>
      <c r="C508" s="16" t="s">
        <v>62</v>
      </c>
      <c r="D508" s="13" t="s">
        <v>58</v>
      </c>
      <c r="E508" s="13">
        <f t="shared" si="3"/>
        <v>-7629975</v>
      </c>
      <c r="F508" s="13">
        <v>-7629975.0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5"/>
      <c r="S508" s="15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ht="22.5" customHeight="1">
      <c r="A509" s="9">
        <v>46103.0</v>
      </c>
      <c r="B509" s="11" t="s">
        <v>707</v>
      </c>
      <c r="C509" s="16" t="s">
        <v>708</v>
      </c>
      <c r="D509" s="13" t="s">
        <v>56</v>
      </c>
      <c r="E509" s="13">
        <f t="shared" si="3"/>
        <v>-900337</v>
      </c>
      <c r="F509" s="13">
        <v>-900337.0</v>
      </c>
      <c r="G509" s="14"/>
      <c r="H509" s="14"/>
      <c r="I509" s="13">
        <v>337.0</v>
      </c>
      <c r="J509" s="14"/>
      <c r="K509" s="14"/>
      <c r="L509" s="14"/>
      <c r="M509" s="14"/>
      <c r="N509" s="14"/>
      <c r="O509" s="14"/>
      <c r="P509" s="14"/>
      <c r="Q509" s="14"/>
      <c r="R509" s="15"/>
      <c r="S509" s="15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ht="22.5" customHeight="1">
      <c r="A510" s="9">
        <v>46104.0</v>
      </c>
      <c r="B510" s="11" t="s">
        <v>258</v>
      </c>
      <c r="C510" s="16" t="s">
        <v>9</v>
      </c>
      <c r="D510" s="13" t="s">
        <v>37</v>
      </c>
      <c r="E510" s="13">
        <f t="shared" si="3"/>
        <v>-1750000</v>
      </c>
      <c r="F510" s="14"/>
      <c r="G510" s="14"/>
      <c r="H510" s="13">
        <v>-1750000.0</v>
      </c>
      <c r="I510" s="14"/>
      <c r="J510" s="14"/>
      <c r="K510" s="14"/>
      <c r="L510" s="14"/>
      <c r="M510" s="14"/>
      <c r="N510" s="14"/>
      <c r="O510" s="14"/>
      <c r="P510" s="14"/>
      <c r="Q510" s="14"/>
      <c r="R510" s="15"/>
      <c r="S510" s="15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ht="22.5" customHeight="1">
      <c r="A511" s="9">
        <v>46107.0</v>
      </c>
      <c r="B511" s="11" t="s">
        <v>709</v>
      </c>
      <c r="C511" s="16" t="s">
        <v>690</v>
      </c>
      <c r="D511" s="13" t="s">
        <v>40</v>
      </c>
      <c r="E511" s="13">
        <f t="shared" si="3"/>
        <v>-200000</v>
      </c>
      <c r="F511" s="14"/>
      <c r="G511" s="14"/>
      <c r="H511" s="13">
        <v>-200000.0</v>
      </c>
      <c r="I511" s="14"/>
      <c r="J511" s="14"/>
      <c r="K511" s="14"/>
      <c r="L511" s="14"/>
      <c r="M511" s="14"/>
      <c r="N511" s="14"/>
      <c r="O511" s="14"/>
      <c r="P511" s="14"/>
      <c r="Q511" s="14"/>
      <c r="R511" s="15"/>
      <c r="S511" s="15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ht="22.5" customHeight="1">
      <c r="A512" s="9">
        <v>46110.0</v>
      </c>
      <c r="B512" s="11" t="s">
        <v>531</v>
      </c>
      <c r="C512" s="16" t="s">
        <v>80</v>
      </c>
      <c r="D512" s="13" t="s">
        <v>13</v>
      </c>
      <c r="E512" s="13">
        <f t="shared" si="3"/>
        <v>-152000</v>
      </c>
      <c r="F512" s="14"/>
      <c r="G512" s="14"/>
      <c r="H512" s="13">
        <v>-152000.0</v>
      </c>
      <c r="I512" s="13">
        <v>2000.0</v>
      </c>
      <c r="J512" s="14"/>
      <c r="K512" s="14"/>
      <c r="L512" s="14"/>
      <c r="M512" s="14"/>
      <c r="N512" s="14"/>
      <c r="O512" s="14"/>
      <c r="P512" s="14"/>
      <c r="Q512" s="14"/>
      <c r="R512" s="15"/>
      <c r="S512" s="15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ht="22.5" customHeight="1">
      <c r="A513" s="9">
        <v>46110.0</v>
      </c>
      <c r="B513" s="11" t="s">
        <v>710</v>
      </c>
      <c r="C513" s="12" t="s">
        <v>80</v>
      </c>
      <c r="D513" s="18" t="s">
        <v>27</v>
      </c>
      <c r="E513" s="13">
        <f t="shared" si="3"/>
        <v>-150000</v>
      </c>
      <c r="F513" s="14"/>
      <c r="G513" s="14"/>
      <c r="H513" s="13">
        <v>-150000.0</v>
      </c>
      <c r="I513" s="13"/>
      <c r="J513" s="14"/>
      <c r="K513" s="14"/>
      <c r="L513" s="14"/>
      <c r="M513" s="14"/>
      <c r="N513" s="14"/>
      <c r="O513" s="14"/>
      <c r="P513" s="14"/>
      <c r="Q513" s="14"/>
      <c r="R513" s="15"/>
      <c r="S513" s="15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ht="22.5" customHeight="1">
      <c r="A514" s="9">
        <v>46113.0</v>
      </c>
      <c r="B514" s="11" t="s">
        <v>467</v>
      </c>
      <c r="C514" s="16" t="s">
        <v>9</v>
      </c>
      <c r="D514" s="13" t="s">
        <v>167</v>
      </c>
      <c r="E514" s="13">
        <f t="shared" si="3"/>
        <v>-1750000</v>
      </c>
      <c r="F514" s="14"/>
      <c r="G514" s="14"/>
      <c r="H514" s="13">
        <v>-1750000.0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5"/>
      <c r="S514" s="15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ht="22.5" customHeight="1">
      <c r="A515" s="9">
        <v>46114.0</v>
      </c>
      <c r="B515" s="11" t="s">
        <v>711</v>
      </c>
      <c r="C515" s="16" t="s">
        <v>9</v>
      </c>
      <c r="D515" s="13" t="s">
        <v>39</v>
      </c>
      <c r="E515" s="13">
        <f t="shared" si="3"/>
        <v>-250000</v>
      </c>
      <c r="F515" s="14"/>
      <c r="G515" s="14"/>
      <c r="H515" s="14"/>
      <c r="I515" s="14"/>
      <c r="J515" s="13">
        <v>-250000.0</v>
      </c>
      <c r="K515" s="14"/>
      <c r="L515" s="14"/>
      <c r="M515" s="14"/>
      <c r="N515" s="14"/>
      <c r="O515" s="14"/>
      <c r="P515" s="14"/>
      <c r="Q515" s="14"/>
      <c r="R515" s="15"/>
      <c r="S515" s="15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ht="22.5" customHeight="1">
      <c r="A516" s="9">
        <v>46114.0</v>
      </c>
      <c r="B516" s="11" t="s">
        <v>673</v>
      </c>
      <c r="C516" s="16" t="s">
        <v>9</v>
      </c>
      <c r="D516" s="13" t="s">
        <v>39</v>
      </c>
      <c r="E516" s="13">
        <f t="shared" si="3"/>
        <v>-338550</v>
      </c>
      <c r="F516" s="14"/>
      <c r="G516" s="14"/>
      <c r="H516" s="14"/>
      <c r="I516" s="14"/>
      <c r="J516" s="13">
        <v>-338550.0</v>
      </c>
      <c r="K516" s="14"/>
      <c r="L516" s="14"/>
      <c r="M516" s="14"/>
      <c r="N516" s="14"/>
      <c r="O516" s="14"/>
      <c r="P516" s="14"/>
      <c r="Q516" s="14"/>
      <c r="R516" s="15"/>
      <c r="S516" s="15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ht="22.5" customHeight="1">
      <c r="A517" s="9">
        <v>46114.0</v>
      </c>
      <c r="B517" s="11" t="s">
        <v>712</v>
      </c>
      <c r="C517" s="16" t="s">
        <v>9</v>
      </c>
      <c r="D517" s="13" t="s">
        <v>37</v>
      </c>
      <c r="E517" s="13">
        <f t="shared" si="3"/>
        <v>-366000</v>
      </c>
      <c r="F517" s="14"/>
      <c r="G517" s="14"/>
      <c r="H517" s="14"/>
      <c r="I517" s="14"/>
      <c r="J517" s="13">
        <v>-366000.0</v>
      </c>
      <c r="K517" s="14"/>
      <c r="L517" s="14"/>
      <c r="M517" s="14"/>
      <c r="N517" s="14"/>
      <c r="O517" s="14"/>
      <c r="P517" s="14"/>
      <c r="Q517" s="14"/>
      <c r="R517" s="15"/>
      <c r="S517" s="15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ht="22.5" customHeight="1">
      <c r="A518" s="9">
        <v>46115.0</v>
      </c>
      <c r="B518" s="11" t="s">
        <v>713</v>
      </c>
      <c r="C518" s="16" t="s">
        <v>9</v>
      </c>
      <c r="D518" s="13" t="s">
        <v>160</v>
      </c>
      <c r="E518" s="13">
        <f t="shared" si="3"/>
        <v>0</v>
      </c>
      <c r="F518" s="14"/>
      <c r="G518" s="14"/>
      <c r="H518" s="13">
        <v>-954550.0</v>
      </c>
      <c r="I518" s="14"/>
      <c r="J518" s="13">
        <v>954550.0</v>
      </c>
      <c r="K518" s="14"/>
      <c r="L518" s="14"/>
      <c r="M518" s="14"/>
      <c r="N518" s="14"/>
      <c r="O518" s="14"/>
      <c r="P518" s="14"/>
      <c r="Q518" s="14"/>
      <c r="R518" s="15"/>
      <c r="S518" s="15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ht="22.5" customHeight="1">
      <c r="A519" s="9">
        <v>46117.0</v>
      </c>
      <c r="B519" s="11" t="s">
        <v>714</v>
      </c>
      <c r="C519" s="16" t="s">
        <v>9</v>
      </c>
      <c r="D519" s="13" t="s">
        <v>13</v>
      </c>
      <c r="E519" s="13">
        <f t="shared" si="3"/>
        <v>-488000</v>
      </c>
      <c r="F519" s="14"/>
      <c r="G519" s="14"/>
      <c r="H519" s="14"/>
      <c r="I519" s="14"/>
      <c r="J519" s="13">
        <v>-488000.0</v>
      </c>
      <c r="K519" s="14"/>
      <c r="L519" s="14"/>
      <c r="M519" s="14"/>
      <c r="N519" s="14"/>
      <c r="O519" s="14"/>
      <c r="P519" s="14"/>
      <c r="Q519" s="14"/>
      <c r="R519" s="15"/>
      <c r="S519" s="15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ht="22.5" customHeight="1">
      <c r="A520" s="9">
        <v>46119.0</v>
      </c>
      <c r="B520" s="11" t="s">
        <v>506</v>
      </c>
      <c r="C520" s="16" t="s">
        <v>9</v>
      </c>
      <c r="D520" s="13" t="s">
        <v>160</v>
      </c>
      <c r="E520" s="13">
        <f t="shared" si="3"/>
        <v>0</v>
      </c>
      <c r="F520" s="14"/>
      <c r="G520" s="14"/>
      <c r="H520" s="13">
        <v>-488000.0</v>
      </c>
      <c r="I520" s="14"/>
      <c r="J520" s="13">
        <v>488000.0</v>
      </c>
      <c r="K520" s="14"/>
      <c r="L520" s="14"/>
      <c r="M520" s="14"/>
      <c r="N520" s="14"/>
      <c r="O520" s="14"/>
      <c r="P520" s="14"/>
      <c r="Q520" s="14"/>
      <c r="R520" s="15"/>
      <c r="S520" s="15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ht="22.5" customHeight="1">
      <c r="A521" s="9">
        <v>46120.0</v>
      </c>
      <c r="B521" s="11" t="s">
        <v>715</v>
      </c>
      <c r="C521" s="16" t="s">
        <v>74</v>
      </c>
      <c r="D521" s="13" t="s">
        <v>27</v>
      </c>
      <c r="E521" s="13">
        <f t="shared" si="3"/>
        <v>5000000</v>
      </c>
      <c r="F521" s="14"/>
      <c r="G521" s="14"/>
      <c r="H521" s="13">
        <v>5000000.0</v>
      </c>
      <c r="I521" s="14"/>
      <c r="J521" s="14"/>
      <c r="K521" s="14"/>
      <c r="L521" s="14"/>
      <c r="M521" s="14"/>
      <c r="N521" s="14"/>
      <c r="O521" s="14"/>
      <c r="P521" s="14"/>
      <c r="Q521" s="14"/>
      <c r="R521" s="15"/>
      <c r="S521" s="15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ht="22.5" customHeight="1">
      <c r="A522" s="9">
        <v>46119.0</v>
      </c>
      <c r="B522" s="11" t="s">
        <v>716</v>
      </c>
      <c r="C522" s="12" t="s">
        <v>9</v>
      </c>
      <c r="D522" s="18" t="s">
        <v>24</v>
      </c>
      <c r="E522" s="13">
        <f t="shared" si="3"/>
        <v>-100000</v>
      </c>
      <c r="F522" s="14"/>
      <c r="G522" s="14"/>
      <c r="H522" s="13"/>
      <c r="I522" s="14"/>
      <c r="J522" s="13">
        <v>-100000.0</v>
      </c>
      <c r="K522" s="14"/>
      <c r="L522" s="14"/>
      <c r="M522" s="14"/>
      <c r="N522" s="14"/>
      <c r="O522" s="14"/>
      <c r="P522" s="14"/>
      <c r="Q522" s="14"/>
      <c r="R522" s="15"/>
      <c r="S522" s="15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ht="22.5" customHeight="1">
      <c r="A523" s="9">
        <v>46120.0</v>
      </c>
      <c r="B523" s="11" t="s">
        <v>717</v>
      </c>
      <c r="C523" s="12" t="s">
        <v>9</v>
      </c>
      <c r="D523" s="18" t="s">
        <v>13</v>
      </c>
      <c r="E523" s="13">
        <f t="shared" si="3"/>
        <v>-94000</v>
      </c>
      <c r="F523" s="14"/>
      <c r="G523" s="14"/>
      <c r="H523" s="13"/>
      <c r="I523" s="14"/>
      <c r="J523" s="13">
        <v>-94000.0</v>
      </c>
      <c r="K523" s="14"/>
      <c r="L523" s="14"/>
      <c r="M523" s="14"/>
      <c r="N523" s="14"/>
      <c r="O523" s="14"/>
      <c r="P523" s="14"/>
      <c r="Q523" s="14"/>
      <c r="R523" s="15"/>
      <c r="S523" s="15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ht="22.5" customHeight="1">
      <c r="A524" s="9">
        <v>46121.0</v>
      </c>
      <c r="B524" s="11" t="s">
        <v>718</v>
      </c>
      <c r="C524" s="12" t="s">
        <v>9</v>
      </c>
      <c r="D524" s="18" t="s">
        <v>160</v>
      </c>
      <c r="E524" s="13">
        <f t="shared" si="3"/>
        <v>0</v>
      </c>
      <c r="F524" s="14"/>
      <c r="G524" s="14"/>
      <c r="H524" s="13">
        <v>-194000.0</v>
      </c>
      <c r="I524" s="14"/>
      <c r="J524" s="13">
        <v>194000.0</v>
      </c>
      <c r="K524" s="14"/>
      <c r="L524" s="14"/>
      <c r="M524" s="14"/>
      <c r="N524" s="14"/>
      <c r="O524" s="14"/>
      <c r="P524" s="14"/>
      <c r="Q524" s="14"/>
      <c r="R524" s="15"/>
      <c r="S524" s="15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ht="22.5" customHeight="1">
      <c r="A525" s="9">
        <v>46121.0</v>
      </c>
      <c r="B525" s="11" t="s">
        <v>155</v>
      </c>
      <c r="C525" s="12" t="s">
        <v>80</v>
      </c>
      <c r="D525" s="18" t="s">
        <v>719</v>
      </c>
      <c r="E525" s="13">
        <f t="shared" si="3"/>
        <v>45000</v>
      </c>
      <c r="F525" s="14"/>
      <c r="G525" s="14"/>
      <c r="H525" s="13">
        <v>45000.0</v>
      </c>
      <c r="I525" s="14"/>
      <c r="J525" s="13"/>
      <c r="K525" s="14"/>
      <c r="L525" s="14"/>
      <c r="M525" s="14"/>
      <c r="N525" s="14"/>
      <c r="O525" s="14"/>
      <c r="P525" s="14"/>
      <c r="Q525" s="14"/>
      <c r="R525" s="15"/>
      <c r="S525" s="15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ht="22.5" customHeight="1">
      <c r="A526" s="9">
        <v>46123.0</v>
      </c>
      <c r="B526" s="11" t="s">
        <v>720</v>
      </c>
      <c r="C526" s="12" t="s">
        <v>721</v>
      </c>
      <c r="D526" s="18" t="s">
        <v>31</v>
      </c>
      <c r="E526" s="13">
        <f t="shared" si="3"/>
        <v>-2000330</v>
      </c>
      <c r="F526" s="14"/>
      <c r="G526" s="14"/>
      <c r="H526" s="13">
        <v>-2000330.0</v>
      </c>
      <c r="I526" s="13">
        <v>330.0</v>
      </c>
      <c r="J526" s="13"/>
      <c r="K526" s="14"/>
      <c r="L526" s="14"/>
      <c r="M526" s="14"/>
      <c r="N526" s="14"/>
      <c r="O526" s="14"/>
      <c r="P526" s="14"/>
      <c r="Q526" s="14"/>
      <c r="R526" s="15"/>
      <c r="S526" s="15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ht="22.5" customHeight="1">
      <c r="A527" s="9">
        <v>46124.0</v>
      </c>
      <c r="B527" s="11" t="s">
        <v>722</v>
      </c>
      <c r="C527" s="12" t="s">
        <v>9</v>
      </c>
      <c r="D527" s="18" t="s">
        <v>31</v>
      </c>
      <c r="E527" s="13">
        <f t="shared" si="3"/>
        <v>-725000</v>
      </c>
      <c r="F527" s="14"/>
      <c r="G527" s="14"/>
      <c r="H527" s="13"/>
      <c r="I527" s="13"/>
      <c r="J527" s="13">
        <f>-(189000+36000+250000+100000+150000)</f>
        <v>-725000</v>
      </c>
      <c r="K527" s="14"/>
      <c r="L527" s="14"/>
      <c r="M527" s="14"/>
      <c r="N527" s="14"/>
      <c r="O527" s="14"/>
      <c r="P527" s="14"/>
      <c r="Q527" s="14"/>
      <c r="R527" s="15"/>
      <c r="S527" s="15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ht="22.5" customHeight="1">
      <c r="A528" s="9">
        <v>46124.0</v>
      </c>
      <c r="B528" s="11" t="s">
        <v>723</v>
      </c>
      <c r="C528" s="12" t="s">
        <v>9</v>
      </c>
      <c r="D528" s="18" t="s">
        <v>24</v>
      </c>
      <c r="E528" s="13">
        <f t="shared" si="3"/>
        <v>-203000</v>
      </c>
      <c r="F528" s="14"/>
      <c r="G528" s="14"/>
      <c r="H528" s="13"/>
      <c r="I528" s="13"/>
      <c r="J528" s="13">
        <v>-203000.0</v>
      </c>
      <c r="K528" s="14"/>
      <c r="L528" s="14"/>
      <c r="M528" s="14"/>
      <c r="N528" s="14"/>
      <c r="O528" s="14"/>
      <c r="P528" s="14"/>
      <c r="Q528" s="14"/>
      <c r="R528" s="15"/>
      <c r="S528" s="15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ht="22.5" customHeight="1">
      <c r="A529" s="9">
        <v>46124.0</v>
      </c>
      <c r="B529" s="11" t="s">
        <v>724</v>
      </c>
      <c r="C529" s="12" t="s">
        <v>9</v>
      </c>
      <c r="D529" s="18" t="s">
        <v>24</v>
      </c>
      <c r="E529" s="13">
        <f t="shared" si="3"/>
        <v>-49000</v>
      </c>
      <c r="F529" s="14"/>
      <c r="G529" s="14"/>
      <c r="H529" s="13"/>
      <c r="I529" s="13"/>
      <c r="J529" s="13">
        <v>-49000.0</v>
      </c>
      <c r="K529" s="14"/>
      <c r="L529" s="14"/>
      <c r="M529" s="14"/>
      <c r="N529" s="14"/>
      <c r="O529" s="14"/>
      <c r="P529" s="14"/>
      <c r="Q529" s="14"/>
      <c r="R529" s="15"/>
      <c r="S529" s="15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ht="22.5" customHeight="1">
      <c r="A530" s="9">
        <v>46124.0</v>
      </c>
      <c r="B530" s="11" t="s">
        <v>725</v>
      </c>
      <c r="C530" s="12" t="s">
        <v>726</v>
      </c>
      <c r="D530" s="18" t="s">
        <v>31</v>
      </c>
      <c r="E530" s="13">
        <f t="shared" si="3"/>
        <v>-75000</v>
      </c>
      <c r="F530" s="14"/>
      <c r="G530" s="14"/>
      <c r="H530" s="13"/>
      <c r="I530" s="13"/>
      <c r="J530" s="13">
        <v>-75000.0</v>
      </c>
      <c r="K530" s="14"/>
      <c r="L530" s="14"/>
      <c r="M530" s="14"/>
      <c r="N530" s="14"/>
      <c r="O530" s="14"/>
      <c r="P530" s="14"/>
      <c r="Q530" s="14"/>
      <c r="R530" s="15"/>
      <c r="S530" s="15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ht="22.5" customHeight="1">
      <c r="A531" s="9">
        <v>46125.0</v>
      </c>
      <c r="B531" s="11" t="s">
        <v>727</v>
      </c>
      <c r="C531" s="12" t="s">
        <v>728</v>
      </c>
      <c r="D531" s="18" t="s">
        <v>31</v>
      </c>
      <c r="E531" s="13">
        <f t="shared" si="3"/>
        <v>-4250326</v>
      </c>
      <c r="F531" s="14"/>
      <c r="G531" s="14"/>
      <c r="H531" s="13">
        <v>-4250326.0</v>
      </c>
      <c r="I531" s="13">
        <v>326.0</v>
      </c>
      <c r="J531" s="13"/>
      <c r="K531" s="14"/>
      <c r="L531" s="14"/>
      <c r="M531" s="14"/>
      <c r="N531" s="14"/>
      <c r="O531" s="14"/>
      <c r="P531" s="14"/>
      <c r="Q531" s="14"/>
      <c r="R531" s="15"/>
      <c r="S531" s="15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ht="22.5" customHeight="1">
      <c r="A532" s="9">
        <v>46127.0</v>
      </c>
      <c r="B532" s="11" t="s">
        <v>729</v>
      </c>
      <c r="C532" s="12" t="s">
        <v>730</v>
      </c>
      <c r="D532" s="18" t="s">
        <v>731</v>
      </c>
      <c r="E532" s="13">
        <f t="shared" si="3"/>
        <v>-99326</v>
      </c>
      <c r="F532" s="14"/>
      <c r="G532" s="14"/>
      <c r="H532" s="13">
        <v>-99326.0</v>
      </c>
      <c r="I532" s="13">
        <v>326.0</v>
      </c>
      <c r="J532" s="13"/>
      <c r="K532" s="14"/>
      <c r="L532" s="14"/>
      <c r="M532" s="14"/>
      <c r="N532" s="14"/>
      <c r="O532" s="14"/>
      <c r="P532" s="14"/>
      <c r="Q532" s="14"/>
      <c r="R532" s="15"/>
      <c r="S532" s="15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ht="22.5" customHeight="1">
      <c r="A533" s="9">
        <v>46127.0</v>
      </c>
      <c r="B533" s="11" t="s">
        <v>732</v>
      </c>
      <c r="C533" s="12" t="s">
        <v>9</v>
      </c>
      <c r="D533" s="18" t="s">
        <v>160</v>
      </c>
      <c r="E533" s="13">
        <f t="shared" si="3"/>
        <v>0</v>
      </c>
      <c r="F533" s="14"/>
      <c r="G533" s="14"/>
      <c r="H533" s="13">
        <v>-1052000.0</v>
      </c>
      <c r="I533" s="13"/>
      <c r="J533" s="13">
        <v>1052000.0</v>
      </c>
      <c r="K533" s="14"/>
      <c r="L533" s="14"/>
      <c r="M533" s="14"/>
      <c r="N533" s="14"/>
      <c r="O533" s="14"/>
      <c r="P533" s="14"/>
      <c r="Q533" s="14"/>
      <c r="R533" s="15"/>
      <c r="S533" s="15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ht="22.5" customHeight="1">
      <c r="A534" s="9">
        <v>46127.0</v>
      </c>
      <c r="B534" s="11" t="s">
        <v>733</v>
      </c>
      <c r="C534" s="12" t="s">
        <v>9</v>
      </c>
      <c r="D534" s="18" t="s">
        <v>13</v>
      </c>
      <c r="E534" s="13">
        <f t="shared" si="3"/>
        <v>-283000</v>
      </c>
      <c r="F534" s="14"/>
      <c r="G534" s="14"/>
      <c r="H534" s="13"/>
      <c r="I534" s="13"/>
      <c r="J534" s="13">
        <v>-283000.0</v>
      </c>
      <c r="K534" s="14"/>
      <c r="L534" s="14"/>
      <c r="M534" s="14"/>
      <c r="N534" s="14"/>
      <c r="O534" s="14"/>
      <c r="P534" s="14"/>
      <c r="Q534" s="14"/>
      <c r="R534" s="15"/>
      <c r="S534" s="15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ht="22.5" customHeight="1">
      <c r="A535" s="9">
        <v>46130.0</v>
      </c>
      <c r="B535" s="11" t="s">
        <v>734</v>
      </c>
      <c r="C535" s="12" t="s">
        <v>9</v>
      </c>
      <c r="D535" s="18" t="s">
        <v>13</v>
      </c>
      <c r="E535" s="13">
        <f t="shared" si="3"/>
        <v>-209000</v>
      </c>
      <c r="F535" s="14"/>
      <c r="G535" s="14"/>
      <c r="H535" s="13"/>
      <c r="I535" s="13"/>
      <c r="J535" s="13">
        <v>-209000.0</v>
      </c>
      <c r="K535" s="14"/>
      <c r="L535" s="14"/>
      <c r="M535" s="14"/>
      <c r="N535" s="14"/>
      <c r="O535" s="14"/>
      <c r="P535" s="14"/>
      <c r="Q535" s="14"/>
      <c r="R535" s="15"/>
      <c r="S535" s="15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ht="22.5" customHeight="1">
      <c r="A536" s="9">
        <v>46131.0</v>
      </c>
      <c r="B536" s="11" t="s">
        <v>735</v>
      </c>
      <c r="C536" s="12" t="s">
        <v>9</v>
      </c>
      <c r="D536" s="18" t="s">
        <v>13</v>
      </c>
      <c r="E536" s="13">
        <f t="shared" si="3"/>
        <v>-245000</v>
      </c>
      <c r="F536" s="14"/>
      <c r="G536" s="14"/>
      <c r="H536" s="13"/>
      <c r="I536" s="13"/>
      <c r="J536" s="13">
        <v>-245000.0</v>
      </c>
      <c r="K536" s="14"/>
      <c r="L536" s="14"/>
      <c r="M536" s="14"/>
      <c r="N536" s="14"/>
      <c r="O536" s="14"/>
      <c r="P536" s="14"/>
      <c r="Q536" s="14"/>
      <c r="R536" s="15"/>
      <c r="S536" s="15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ht="22.5" customHeight="1">
      <c r="A537" s="9">
        <v>46131.0</v>
      </c>
      <c r="B537" s="11" t="s">
        <v>736</v>
      </c>
      <c r="C537" s="12" t="s">
        <v>9</v>
      </c>
      <c r="D537" s="18" t="s">
        <v>160</v>
      </c>
      <c r="E537" s="13">
        <f t="shared" si="3"/>
        <v>0</v>
      </c>
      <c r="F537" s="14"/>
      <c r="G537" s="14"/>
      <c r="H537" s="13">
        <v>-737000.0</v>
      </c>
      <c r="I537" s="13"/>
      <c r="J537" s="13">
        <v>737000.0</v>
      </c>
      <c r="K537" s="14"/>
      <c r="L537" s="14"/>
      <c r="M537" s="14"/>
      <c r="N537" s="14"/>
      <c r="O537" s="14"/>
      <c r="P537" s="14"/>
      <c r="Q537" s="14"/>
      <c r="R537" s="15"/>
      <c r="S537" s="15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ht="22.5" customHeight="1">
      <c r="A538" s="9">
        <v>46132.0</v>
      </c>
      <c r="B538" s="11" t="s">
        <v>737</v>
      </c>
      <c r="C538" s="12" t="s">
        <v>62</v>
      </c>
      <c r="D538" s="18" t="s">
        <v>56</v>
      </c>
      <c r="E538" s="13">
        <f t="shared" si="3"/>
        <v>5000000</v>
      </c>
      <c r="F538" s="13">
        <v>5000000.0</v>
      </c>
      <c r="G538" s="14"/>
      <c r="H538" s="13"/>
      <c r="I538" s="13"/>
      <c r="J538" s="13"/>
      <c r="K538" s="14"/>
      <c r="L538" s="14"/>
      <c r="M538" s="14"/>
      <c r="N538" s="14"/>
      <c r="O538" s="14"/>
      <c r="P538" s="14"/>
      <c r="Q538" s="14"/>
      <c r="R538" s="15"/>
      <c r="S538" s="15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ht="22.5" customHeight="1">
      <c r="A539" s="9">
        <v>46133.0</v>
      </c>
      <c r="B539" s="11" t="s">
        <v>738</v>
      </c>
      <c r="C539" s="12" t="s">
        <v>10</v>
      </c>
      <c r="D539" s="18" t="s">
        <v>56</v>
      </c>
      <c r="E539" s="13">
        <f t="shared" si="3"/>
        <v>-3000327</v>
      </c>
      <c r="F539" s="13">
        <v>-3000327.0</v>
      </c>
      <c r="G539" s="14"/>
      <c r="H539" s="13"/>
      <c r="I539" s="13">
        <v>327.0</v>
      </c>
      <c r="J539" s="13"/>
      <c r="K539" s="14"/>
      <c r="L539" s="14"/>
      <c r="M539" s="14"/>
      <c r="N539" s="14"/>
      <c r="O539" s="14"/>
      <c r="P539" s="14"/>
      <c r="Q539" s="14"/>
      <c r="R539" s="15"/>
      <c r="S539" s="15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ht="22.5" customHeight="1">
      <c r="A540" s="9">
        <v>46133.0</v>
      </c>
      <c r="B540" s="11" t="s">
        <v>739</v>
      </c>
      <c r="C540" s="12" t="s">
        <v>740</v>
      </c>
      <c r="D540" s="18" t="s">
        <v>58</v>
      </c>
      <c r="E540" s="13">
        <f t="shared" si="3"/>
        <v>10100675</v>
      </c>
      <c r="F540" s="13">
        <v>1.0100675E7</v>
      </c>
      <c r="G540" s="14"/>
      <c r="H540" s="13"/>
      <c r="I540" s="13"/>
      <c r="J540" s="13"/>
      <c r="K540" s="14"/>
      <c r="L540" s="14"/>
      <c r="M540" s="14"/>
      <c r="N540" s="14"/>
      <c r="O540" s="14"/>
      <c r="P540" s="14"/>
      <c r="Q540" s="14"/>
      <c r="R540" s="15"/>
      <c r="S540" s="15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ht="22.5" customHeight="1">
      <c r="A541" s="9">
        <v>46133.0</v>
      </c>
      <c r="B541" s="11" t="s">
        <v>142</v>
      </c>
      <c r="C541" s="12" t="s">
        <v>62</v>
      </c>
      <c r="D541" s="18" t="s">
        <v>58</v>
      </c>
      <c r="E541" s="13">
        <f t="shared" si="3"/>
        <v>-4698225</v>
      </c>
      <c r="F541" s="13">
        <v>-4698225.0</v>
      </c>
      <c r="G541" s="14"/>
      <c r="H541" s="13"/>
      <c r="I541" s="13"/>
      <c r="J541" s="13"/>
      <c r="K541" s="14"/>
      <c r="L541" s="14"/>
      <c r="M541" s="14"/>
      <c r="N541" s="14"/>
      <c r="O541" s="14"/>
      <c r="P541" s="14"/>
      <c r="Q541" s="14"/>
      <c r="R541" s="15"/>
      <c r="S541" s="15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ht="22.5" customHeight="1">
      <c r="A542" s="9">
        <v>46134.0</v>
      </c>
      <c r="B542" s="11" t="s">
        <v>741</v>
      </c>
      <c r="C542" s="12" t="s">
        <v>74</v>
      </c>
      <c r="D542" s="18" t="s">
        <v>707</v>
      </c>
      <c r="E542" s="13">
        <f t="shared" si="3"/>
        <v>-300341</v>
      </c>
      <c r="F542" s="14"/>
      <c r="G542" s="14"/>
      <c r="H542" s="13">
        <v>-300341.0</v>
      </c>
      <c r="I542" s="13">
        <v>341.0</v>
      </c>
      <c r="J542" s="13"/>
      <c r="K542" s="14"/>
      <c r="L542" s="14"/>
      <c r="M542" s="14"/>
      <c r="N542" s="14"/>
      <c r="O542" s="14"/>
      <c r="P542" s="14"/>
      <c r="Q542" s="14"/>
      <c r="R542" s="15"/>
      <c r="S542" s="15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ht="22.5" customHeight="1">
      <c r="A543" s="9">
        <v>46134.0</v>
      </c>
      <c r="B543" s="11" t="s">
        <v>742</v>
      </c>
      <c r="C543" s="12" t="s">
        <v>83</v>
      </c>
      <c r="D543" s="18" t="s">
        <v>707</v>
      </c>
      <c r="E543" s="13">
        <f t="shared" si="3"/>
        <v>-300000</v>
      </c>
      <c r="F543" s="14"/>
      <c r="G543" s="14"/>
      <c r="H543" s="13">
        <v>-300000.0</v>
      </c>
      <c r="I543" s="13"/>
      <c r="J543" s="13"/>
      <c r="K543" s="14"/>
      <c r="L543" s="14"/>
      <c r="M543" s="14"/>
      <c r="N543" s="14"/>
      <c r="O543" s="14"/>
      <c r="P543" s="14"/>
      <c r="Q543" s="14"/>
      <c r="R543" s="15"/>
      <c r="S543" s="15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ht="22.5" customHeight="1">
      <c r="A544" s="9">
        <v>46134.0</v>
      </c>
      <c r="B544" s="11" t="s">
        <v>743</v>
      </c>
      <c r="C544" s="12" t="s">
        <v>80</v>
      </c>
      <c r="D544" s="18" t="s">
        <v>707</v>
      </c>
      <c r="E544" s="13">
        <f t="shared" si="3"/>
        <v>-300000</v>
      </c>
      <c r="F544" s="14"/>
      <c r="G544" s="14"/>
      <c r="H544" s="13">
        <v>-300000.0</v>
      </c>
      <c r="I544" s="13"/>
      <c r="J544" s="13"/>
      <c r="K544" s="14"/>
      <c r="L544" s="14"/>
      <c r="M544" s="14"/>
      <c r="N544" s="14"/>
      <c r="O544" s="14"/>
      <c r="P544" s="14"/>
      <c r="Q544" s="14"/>
      <c r="R544" s="15"/>
      <c r="S544" s="15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ht="22.5" customHeight="1">
      <c r="A545" s="9">
        <v>46134.0</v>
      </c>
      <c r="B545" s="11" t="s">
        <v>744</v>
      </c>
      <c r="C545" s="12" t="s">
        <v>83</v>
      </c>
      <c r="D545" s="18" t="s">
        <v>15</v>
      </c>
      <c r="E545" s="13">
        <f t="shared" si="3"/>
        <v>-500000</v>
      </c>
      <c r="F545" s="14"/>
      <c r="G545" s="14"/>
      <c r="H545" s="13">
        <v>-500000.0</v>
      </c>
      <c r="I545" s="13"/>
      <c r="J545" s="13"/>
      <c r="K545" s="14"/>
      <c r="L545" s="14"/>
      <c r="M545" s="14"/>
      <c r="N545" s="14"/>
      <c r="O545" s="14"/>
      <c r="P545" s="14"/>
      <c r="Q545" s="14"/>
      <c r="R545" s="15"/>
      <c r="S545" s="15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ht="22.5" customHeight="1">
      <c r="A546" s="9">
        <v>46134.0</v>
      </c>
      <c r="B546" s="11" t="s">
        <v>693</v>
      </c>
      <c r="C546" s="12" t="s">
        <v>80</v>
      </c>
      <c r="D546" s="18" t="s">
        <v>46</v>
      </c>
      <c r="E546" s="13">
        <f t="shared" si="3"/>
        <v>1000000</v>
      </c>
      <c r="F546" s="14"/>
      <c r="G546" s="14"/>
      <c r="H546" s="13">
        <v>1000000.0</v>
      </c>
      <c r="I546" s="13"/>
      <c r="J546" s="13"/>
      <c r="K546" s="14"/>
      <c r="L546" s="14"/>
      <c r="M546" s="14"/>
      <c r="N546" s="14"/>
      <c r="O546" s="14"/>
      <c r="P546" s="14"/>
      <c r="Q546" s="14"/>
      <c r="R546" s="15"/>
      <c r="S546" s="15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ht="22.5" customHeight="1">
      <c r="A547" s="9">
        <v>46134.0</v>
      </c>
      <c r="B547" s="11" t="s">
        <v>745</v>
      </c>
      <c r="C547" s="12" t="s">
        <v>746</v>
      </c>
      <c r="D547" s="18" t="s">
        <v>193</v>
      </c>
      <c r="E547" s="13">
        <f t="shared" si="3"/>
        <v>-1400326</v>
      </c>
      <c r="F547" s="14"/>
      <c r="G547" s="14"/>
      <c r="H547" s="13">
        <v>-1400326.0</v>
      </c>
      <c r="I547" s="13">
        <v>326.0</v>
      </c>
      <c r="J547" s="13"/>
      <c r="K547" s="14"/>
      <c r="L547" s="14"/>
      <c r="M547" s="14"/>
      <c r="N547" s="14"/>
      <c r="O547" s="14"/>
      <c r="P547" s="14"/>
      <c r="Q547" s="14"/>
      <c r="R547" s="15"/>
      <c r="S547" s="15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ht="22.5" customHeight="1">
      <c r="A548" s="9">
        <v>46134.0</v>
      </c>
      <c r="B548" s="11" t="s">
        <v>747</v>
      </c>
      <c r="C548" s="12" t="s">
        <v>719</v>
      </c>
      <c r="D548" s="18" t="s">
        <v>719</v>
      </c>
      <c r="E548" s="13">
        <f t="shared" si="3"/>
        <v>370000</v>
      </c>
      <c r="F548" s="13">
        <v>370000.0</v>
      </c>
      <c r="G548" s="14"/>
      <c r="H548" s="13"/>
      <c r="I548" s="13"/>
      <c r="J548" s="13"/>
      <c r="K548" s="14"/>
      <c r="L548" s="14"/>
      <c r="M548" s="14"/>
      <c r="N548" s="14"/>
      <c r="O548" s="14"/>
      <c r="P548" s="14"/>
      <c r="Q548" s="14"/>
      <c r="R548" s="15"/>
      <c r="S548" s="15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ht="22.5" customHeight="1">
      <c r="A549" s="9">
        <v>46134.0</v>
      </c>
      <c r="B549" s="11" t="s">
        <v>748</v>
      </c>
      <c r="C549" s="12" t="s">
        <v>749</v>
      </c>
      <c r="D549" s="18" t="s">
        <v>749</v>
      </c>
      <c r="E549" s="13">
        <f t="shared" si="3"/>
        <v>-18517.75</v>
      </c>
      <c r="F549" s="13">
        <v>-18517.75</v>
      </c>
      <c r="G549" s="14"/>
      <c r="H549" s="13"/>
      <c r="I549" s="13"/>
      <c r="J549" s="13"/>
      <c r="K549" s="14"/>
      <c r="L549" s="14"/>
      <c r="M549" s="14"/>
      <c r="N549" s="14"/>
      <c r="O549" s="14"/>
      <c r="P549" s="14"/>
      <c r="Q549" s="14"/>
      <c r="R549" s="15"/>
      <c r="S549" s="15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ht="22.5" customHeight="1">
      <c r="A550" s="9">
        <v>46135.0</v>
      </c>
      <c r="B550" s="11" t="s">
        <v>253</v>
      </c>
      <c r="C550" s="12" t="s">
        <v>80</v>
      </c>
      <c r="D550" s="18" t="s">
        <v>160</v>
      </c>
      <c r="E550" s="13">
        <f t="shared" si="3"/>
        <v>0</v>
      </c>
      <c r="F550" s="13">
        <v>1.6E7</v>
      </c>
      <c r="G550" s="14"/>
      <c r="H550" s="13">
        <v>-1.6E7</v>
      </c>
      <c r="I550" s="13"/>
      <c r="J550" s="13"/>
      <c r="K550" s="14"/>
      <c r="L550" s="14"/>
      <c r="M550" s="14"/>
      <c r="N550" s="14"/>
      <c r="O550" s="14"/>
      <c r="P550" s="14"/>
      <c r="Q550" s="14"/>
      <c r="R550" s="15"/>
      <c r="S550" s="15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22.5" customHeight="1">
      <c r="A551" s="9">
        <v>46135.0</v>
      </c>
      <c r="B551" s="11" t="s">
        <v>750</v>
      </c>
      <c r="C551" s="12" t="s">
        <v>80</v>
      </c>
      <c r="D551" s="18" t="s">
        <v>27</v>
      </c>
      <c r="E551" s="13">
        <f t="shared" si="3"/>
        <v>150000</v>
      </c>
      <c r="F551" s="13"/>
      <c r="G551" s="14"/>
      <c r="H551" s="13">
        <v>150000.0</v>
      </c>
      <c r="I551" s="13"/>
      <c r="J551" s="13"/>
      <c r="K551" s="14"/>
      <c r="L551" s="14"/>
      <c r="M551" s="14"/>
      <c r="N551" s="14"/>
      <c r="O551" s="14"/>
      <c r="P551" s="14"/>
      <c r="Q551" s="14"/>
      <c r="R551" s="15"/>
      <c r="S551" s="15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ht="22.5" customHeight="1">
      <c r="A552" s="9">
        <v>46135.0</v>
      </c>
      <c r="B552" s="11" t="s">
        <v>751</v>
      </c>
      <c r="C552" s="12" t="s">
        <v>80</v>
      </c>
      <c r="D552" s="18" t="s">
        <v>46</v>
      </c>
      <c r="E552" s="13">
        <f t="shared" si="3"/>
        <v>-1000000</v>
      </c>
      <c r="F552" s="13"/>
      <c r="G552" s="14"/>
      <c r="H552" s="13">
        <v>-1000000.0</v>
      </c>
      <c r="I552" s="13"/>
      <c r="J552" s="13"/>
      <c r="K552" s="14"/>
      <c r="L552" s="14"/>
      <c r="M552" s="14"/>
      <c r="N552" s="14"/>
      <c r="O552" s="14"/>
      <c r="P552" s="14"/>
      <c r="Q552" s="14"/>
      <c r="R552" s="15"/>
      <c r="S552" s="15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ht="22.5" customHeight="1">
      <c r="A553" s="9">
        <v>46139.0</v>
      </c>
      <c r="B553" s="11" t="s">
        <v>752</v>
      </c>
      <c r="C553" s="12" t="s">
        <v>746</v>
      </c>
      <c r="D553" s="18" t="s">
        <v>193</v>
      </c>
      <c r="E553" s="13">
        <f t="shared" si="3"/>
        <v>-601328</v>
      </c>
      <c r="F553" s="13"/>
      <c r="G553" s="14"/>
      <c r="H553" s="13">
        <v>-601328.0</v>
      </c>
      <c r="I553" s="13">
        <v>1328.0</v>
      </c>
      <c r="J553" s="13"/>
      <c r="K553" s="14"/>
      <c r="L553" s="14"/>
      <c r="M553" s="14"/>
      <c r="N553" s="14"/>
      <c r="O553" s="14"/>
      <c r="P553" s="14"/>
      <c r="Q553" s="14"/>
      <c r="R553" s="15"/>
      <c r="S553" s="15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22.5" customHeight="1">
      <c r="A554" s="9">
        <v>46133.0</v>
      </c>
      <c r="B554" s="11" t="s">
        <v>753</v>
      </c>
      <c r="C554" s="12" t="s">
        <v>753</v>
      </c>
      <c r="D554" s="18" t="s">
        <v>24</v>
      </c>
      <c r="E554" s="13">
        <f t="shared" si="3"/>
        <v>-103000</v>
      </c>
      <c r="F554" s="13"/>
      <c r="G554" s="14"/>
      <c r="H554" s="13"/>
      <c r="I554" s="13"/>
      <c r="J554" s="13">
        <v>-103000.0</v>
      </c>
      <c r="K554" s="14"/>
      <c r="L554" s="14"/>
      <c r="M554" s="14"/>
      <c r="N554" s="14"/>
      <c r="O554" s="14"/>
      <c r="P554" s="14"/>
      <c r="Q554" s="14"/>
      <c r="R554" s="15"/>
      <c r="S554" s="15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22.5" customHeight="1">
      <c r="A555" s="9">
        <v>46138.0</v>
      </c>
      <c r="B555" s="11" t="s">
        <v>754</v>
      </c>
      <c r="C555" s="12" t="s">
        <v>755</v>
      </c>
      <c r="D555" s="18" t="s">
        <v>13</v>
      </c>
      <c r="E555" s="13">
        <f t="shared" si="3"/>
        <v>-236000</v>
      </c>
      <c r="F555" s="13"/>
      <c r="G555" s="14"/>
      <c r="H555" s="13"/>
      <c r="I555" s="13"/>
      <c r="J555" s="13">
        <f>-(104000+112000+20000)</f>
        <v>-236000</v>
      </c>
      <c r="K555" s="14"/>
      <c r="L555" s="14"/>
      <c r="M555" s="14"/>
      <c r="N555" s="14"/>
      <c r="O555" s="14"/>
      <c r="P555" s="14"/>
      <c r="Q555" s="14"/>
      <c r="R555" s="15"/>
      <c r="S555" s="15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22.5" customHeight="1">
      <c r="A556" s="9">
        <v>46139.0</v>
      </c>
      <c r="B556" s="11" t="s">
        <v>756</v>
      </c>
      <c r="C556" s="12" t="s">
        <v>9</v>
      </c>
      <c r="D556" s="18" t="s">
        <v>160</v>
      </c>
      <c r="E556" s="13">
        <f t="shared" si="3"/>
        <v>0</v>
      </c>
      <c r="F556" s="13"/>
      <c r="G556" s="14"/>
      <c r="H556" s="13">
        <v>-339000.0</v>
      </c>
      <c r="I556" s="13"/>
      <c r="J556" s="13">
        <v>339000.0</v>
      </c>
      <c r="K556" s="14"/>
      <c r="L556" s="14"/>
      <c r="M556" s="14"/>
      <c r="N556" s="14"/>
      <c r="O556" s="14"/>
      <c r="P556" s="14"/>
      <c r="Q556" s="14"/>
      <c r="R556" s="15"/>
      <c r="S556" s="15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22.5" customHeight="1">
      <c r="A557" s="9">
        <v>46140.0</v>
      </c>
      <c r="B557" s="11" t="s">
        <v>757</v>
      </c>
      <c r="C557" s="12" t="s">
        <v>237</v>
      </c>
      <c r="D557" s="18" t="s">
        <v>1</v>
      </c>
      <c r="E557" s="13">
        <f t="shared" si="3"/>
        <v>-600000</v>
      </c>
      <c r="F557" s="13"/>
      <c r="G557" s="14"/>
      <c r="H557" s="13">
        <v>-600000.0</v>
      </c>
      <c r="I557" s="13"/>
      <c r="J557" s="13"/>
      <c r="K557" s="14"/>
      <c r="L557" s="14"/>
      <c r="M557" s="14"/>
      <c r="N557" s="14"/>
      <c r="O557" s="14"/>
      <c r="P557" s="14"/>
      <c r="Q557" s="14"/>
      <c r="R557" s="15"/>
      <c r="S557" s="15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22.5" customHeight="1">
      <c r="A558" s="9">
        <v>46141.0</v>
      </c>
      <c r="B558" s="11" t="s">
        <v>758</v>
      </c>
      <c r="C558" s="12" t="s">
        <v>456</v>
      </c>
      <c r="D558" s="18" t="s">
        <v>24</v>
      </c>
      <c r="E558" s="13">
        <f t="shared" si="3"/>
        <v>-151500</v>
      </c>
      <c r="F558" s="13"/>
      <c r="G558" s="14"/>
      <c r="H558" s="13">
        <v>-151500.0</v>
      </c>
      <c r="I558" s="13">
        <v>1500.0</v>
      </c>
      <c r="J558" s="13"/>
      <c r="K558" s="14"/>
      <c r="L558" s="14"/>
      <c r="M558" s="14"/>
      <c r="N558" s="14"/>
      <c r="O558" s="14"/>
      <c r="P558" s="14"/>
      <c r="Q558" s="14"/>
      <c r="R558" s="15"/>
      <c r="S558" s="15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22.5" customHeight="1">
      <c r="A559" s="9">
        <v>46142.0</v>
      </c>
      <c r="B559" s="11" t="s">
        <v>759</v>
      </c>
      <c r="C559" s="12" t="s">
        <v>312</v>
      </c>
      <c r="D559" s="18" t="s">
        <v>193</v>
      </c>
      <c r="E559" s="13">
        <f t="shared" si="3"/>
        <v>4000000</v>
      </c>
      <c r="F559" s="13">
        <v>4000000.0</v>
      </c>
      <c r="G559" s="14"/>
      <c r="H559" s="13"/>
      <c r="I559" s="13"/>
      <c r="J559" s="13"/>
      <c r="K559" s="14"/>
      <c r="L559" s="14"/>
      <c r="M559" s="14"/>
      <c r="N559" s="14"/>
      <c r="O559" s="14"/>
      <c r="P559" s="14"/>
      <c r="Q559" s="14"/>
      <c r="R559" s="15"/>
      <c r="S559" s="15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22.5" customHeight="1">
      <c r="A560" s="9">
        <v>46142.0</v>
      </c>
      <c r="B560" s="11" t="s">
        <v>760</v>
      </c>
      <c r="C560" s="12" t="s">
        <v>746</v>
      </c>
      <c r="D560" s="18" t="s">
        <v>193</v>
      </c>
      <c r="E560" s="13">
        <f t="shared" si="3"/>
        <v>-2000343</v>
      </c>
      <c r="F560" s="13"/>
      <c r="G560" s="14"/>
      <c r="H560" s="13">
        <v>-2000343.0</v>
      </c>
      <c r="I560" s="13"/>
      <c r="J560" s="13"/>
      <c r="K560" s="14"/>
      <c r="L560" s="14"/>
      <c r="M560" s="14"/>
      <c r="N560" s="14"/>
      <c r="O560" s="14"/>
      <c r="P560" s="14"/>
      <c r="Q560" s="14"/>
      <c r="R560" s="15"/>
      <c r="S560" s="15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ht="22.5" customHeight="1">
      <c r="A561" s="9">
        <v>46142.0</v>
      </c>
      <c r="B561" s="11" t="s">
        <v>761</v>
      </c>
      <c r="C561" s="12" t="s">
        <v>762</v>
      </c>
      <c r="D561" s="18" t="s">
        <v>1</v>
      </c>
      <c r="E561" s="13">
        <f t="shared" si="3"/>
        <v>-1000000</v>
      </c>
      <c r="F561" s="13"/>
      <c r="G561" s="14"/>
      <c r="H561" s="13">
        <v>-1000000.0</v>
      </c>
      <c r="I561" s="13"/>
      <c r="J561" s="13"/>
      <c r="K561" s="14"/>
      <c r="L561" s="14"/>
      <c r="M561" s="14"/>
      <c r="N561" s="14"/>
      <c r="O561" s="14"/>
      <c r="P561" s="14"/>
      <c r="Q561" s="14"/>
      <c r="R561" s="15"/>
      <c r="S561" s="15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ht="22.5" customHeight="1">
      <c r="A562" s="38">
        <v>46144.0</v>
      </c>
      <c r="B562" s="39" t="s">
        <v>467</v>
      </c>
      <c r="C562" s="40" t="s">
        <v>9</v>
      </c>
      <c r="D562" s="41" t="s">
        <v>167</v>
      </c>
      <c r="E562" s="42">
        <f t="shared" si="3"/>
        <v>-1750000</v>
      </c>
      <c r="F562" s="42"/>
      <c r="G562" s="43"/>
      <c r="H562" s="42">
        <v>-1750000.0</v>
      </c>
      <c r="I562" s="42"/>
      <c r="J562" s="42"/>
      <c r="K562" s="43"/>
      <c r="L562" s="43"/>
      <c r="M562" s="43"/>
      <c r="N562" s="43"/>
      <c r="O562" s="43"/>
      <c r="P562" s="43"/>
      <c r="Q562" s="43"/>
      <c r="R562" s="44"/>
      <c r="S562" s="44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ht="22.5" customHeight="1">
      <c r="A563" s="38">
        <v>46163.0</v>
      </c>
      <c r="B563" s="39" t="s">
        <v>58</v>
      </c>
      <c r="C563" s="40" t="s">
        <v>706</v>
      </c>
      <c r="D563" s="41" t="s">
        <v>58</v>
      </c>
      <c r="E563" s="42">
        <f t="shared" si="3"/>
        <v>9979000</v>
      </c>
      <c r="F563" s="42">
        <v>9979000.0</v>
      </c>
      <c r="G563" s="43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4"/>
      <c r="S563" s="44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ht="22.5" customHeight="1">
      <c r="A564" s="38">
        <v>46163.0</v>
      </c>
      <c r="B564" s="39" t="s">
        <v>142</v>
      </c>
      <c r="C564" s="40" t="s">
        <v>62</v>
      </c>
      <c r="D564" s="41" t="s">
        <v>58</v>
      </c>
      <c r="E564" s="42">
        <f t="shared" si="3"/>
        <v>-4853025</v>
      </c>
      <c r="F564" s="42">
        <v>-4853025.0</v>
      </c>
      <c r="G564" s="43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4"/>
      <c r="S564" s="44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ht="22.5" customHeight="1">
      <c r="A565" s="38">
        <v>46163.0</v>
      </c>
      <c r="B565" s="39" t="s">
        <v>763</v>
      </c>
      <c r="C565" s="40" t="s">
        <v>755</v>
      </c>
      <c r="D565" s="41" t="s">
        <v>56</v>
      </c>
      <c r="E565" s="42">
        <f t="shared" si="3"/>
        <v>-900203</v>
      </c>
      <c r="F565" s="42">
        <v>-900203.0</v>
      </c>
      <c r="G565" s="43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4"/>
      <c r="S565" s="44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ht="22.5" customHeight="1">
      <c r="A566" s="38">
        <v>46163.0</v>
      </c>
      <c r="B566" s="39" t="s">
        <v>719</v>
      </c>
      <c r="C566" s="40"/>
      <c r="D566" s="41" t="s">
        <v>719</v>
      </c>
      <c r="E566" s="42">
        <f t="shared" si="3"/>
        <v>300000</v>
      </c>
      <c r="F566" s="42">
        <v>300000.0</v>
      </c>
      <c r="G566" s="43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4"/>
      <c r="S566" s="44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ht="22.5" customHeight="1">
      <c r="A567" s="38">
        <v>46167.0</v>
      </c>
      <c r="B567" s="39" t="s">
        <v>764</v>
      </c>
      <c r="C567" s="40" t="s">
        <v>62</v>
      </c>
      <c r="D567" s="41" t="s">
        <v>56</v>
      </c>
      <c r="E567" s="42">
        <f t="shared" si="3"/>
        <v>5000000</v>
      </c>
      <c r="F567" s="42">
        <v>5000000.0</v>
      </c>
      <c r="G567" s="43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4"/>
      <c r="S567" s="44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ht="22.5" customHeight="1">
      <c r="A568" s="38">
        <v>46167.0</v>
      </c>
      <c r="B568" s="39" t="s">
        <v>764</v>
      </c>
      <c r="C568" s="40" t="s">
        <v>10</v>
      </c>
      <c r="D568" s="41" t="s">
        <v>56</v>
      </c>
      <c r="E568" s="42">
        <f t="shared" si="3"/>
        <v>-3005326</v>
      </c>
      <c r="F568" s="42">
        <v>-3005326.0</v>
      </c>
      <c r="G568" s="43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4"/>
      <c r="S568" s="44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ht="22.5" customHeight="1">
      <c r="A569" s="38">
        <v>46169.0</v>
      </c>
      <c r="B569" s="39" t="s">
        <v>765</v>
      </c>
      <c r="C569" s="40" t="s">
        <v>766</v>
      </c>
      <c r="D569" s="41" t="s">
        <v>1</v>
      </c>
      <c r="E569" s="42">
        <f t="shared" si="3"/>
        <v>-1630325</v>
      </c>
      <c r="F569" s="42"/>
      <c r="G569" s="43"/>
      <c r="H569" s="42">
        <v>-1630325.0</v>
      </c>
      <c r="I569" s="42">
        <v>325.0</v>
      </c>
      <c r="J569" s="42"/>
      <c r="K569" s="43"/>
      <c r="L569" s="43"/>
      <c r="M569" s="43"/>
      <c r="N569" s="43"/>
      <c r="O569" s="43"/>
      <c r="P569" s="43"/>
      <c r="Q569" s="43"/>
      <c r="R569" s="44"/>
      <c r="S569" s="44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ht="22.5" customHeight="1">
      <c r="A570" s="38">
        <v>46172.0</v>
      </c>
      <c r="B570" s="39" t="s">
        <v>767</v>
      </c>
      <c r="C570" s="40" t="s">
        <v>264</v>
      </c>
      <c r="D570" s="41" t="s">
        <v>1</v>
      </c>
      <c r="E570" s="42">
        <f t="shared" si="3"/>
        <v>-100336</v>
      </c>
      <c r="F570" s="42"/>
      <c r="G570" s="43"/>
      <c r="H570" s="42">
        <v>-100336.0</v>
      </c>
      <c r="I570" s="42">
        <v>336.0</v>
      </c>
      <c r="J570" s="42"/>
      <c r="K570" s="43"/>
      <c r="L570" s="43"/>
      <c r="M570" s="43"/>
      <c r="N570" s="43"/>
      <c r="O570" s="43"/>
      <c r="P570" s="43"/>
      <c r="Q570" s="43"/>
      <c r="R570" s="44"/>
      <c r="S570" s="44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ht="22.5" customHeight="1">
      <c r="A571" s="38">
        <v>46177.0</v>
      </c>
      <c r="B571" s="39" t="s">
        <v>768</v>
      </c>
      <c r="C571" s="40" t="s">
        <v>9</v>
      </c>
      <c r="D571" s="41" t="s">
        <v>160</v>
      </c>
      <c r="E571" s="42">
        <f t="shared" si="3"/>
        <v>0</v>
      </c>
      <c r="F571" s="42"/>
      <c r="G571" s="43"/>
      <c r="H571" s="42">
        <v>-1916000.0</v>
      </c>
      <c r="I571" s="42"/>
      <c r="J571" s="42">
        <v>1916000.0</v>
      </c>
      <c r="K571" s="43"/>
      <c r="L571" s="43"/>
      <c r="M571" s="43"/>
      <c r="N571" s="43"/>
      <c r="O571" s="43"/>
      <c r="P571" s="43"/>
      <c r="Q571" s="43"/>
      <c r="R571" s="44"/>
      <c r="S571" s="44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ht="22.5" customHeight="1">
      <c r="A572" s="38">
        <v>46177.0</v>
      </c>
      <c r="B572" s="39" t="s">
        <v>25</v>
      </c>
      <c r="C572" s="40" t="s">
        <v>9</v>
      </c>
      <c r="D572" s="41" t="s">
        <v>167</v>
      </c>
      <c r="E572" s="42">
        <f t="shared" si="3"/>
        <v>-1750000</v>
      </c>
      <c r="F572" s="42"/>
      <c r="G572" s="43"/>
      <c r="H572" s="42">
        <v>-1750000.0</v>
      </c>
      <c r="I572" s="42"/>
      <c r="J572" s="42"/>
      <c r="K572" s="43"/>
      <c r="L572" s="43"/>
      <c r="M572" s="43"/>
      <c r="N572" s="43"/>
      <c r="O572" s="43"/>
      <c r="P572" s="43"/>
      <c r="Q572" s="43"/>
      <c r="R572" s="44"/>
      <c r="S572" s="44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ht="22.5" customHeight="1">
      <c r="A573" s="38">
        <v>46177.0</v>
      </c>
      <c r="B573" s="39" t="s">
        <v>769</v>
      </c>
      <c r="C573" s="40" t="s">
        <v>770</v>
      </c>
      <c r="D573" s="41" t="s">
        <v>15</v>
      </c>
      <c r="E573" s="42">
        <f t="shared" si="3"/>
        <v>-250000</v>
      </c>
      <c r="F573" s="42"/>
      <c r="G573" s="43"/>
      <c r="H573" s="42">
        <v>-250000.0</v>
      </c>
      <c r="I573" s="42"/>
      <c r="J573" s="42"/>
      <c r="K573" s="43"/>
      <c r="L573" s="43"/>
      <c r="M573" s="43"/>
      <c r="N573" s="43"/>
      <c r="O573" s="43"/>
      <c r="P573" s="43"/>
      <c r="Q573" s="43"/>
      <c r="R573" s="44"/>
      <c r="S573" s="44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ht="22.5" customHeight="1">
      <c r="A574" s="38">
        <v>46182.0</v>
      </c>
      <c r="B574" s="39" t="s">
        <v>771</v>
      </c>
      <c r="C574" s="40" t="s">
        <v>770</v>
      </c>
      <c r="D574" s="41" t="s">
        <v>15</v>
      </c>
      <c r="E574" s="42">
        <f t="shared" si="3"/>
        <v>-500000</v>
      </c>
      <c r="F574" s="42"/>
      <c r="G574" s="43"/>
      <c r="H574" s="42">
        <v>-500000.0</v>
      </c>
      <c r="I574" s="42"/>
      <c r="J574" s="42"/>
      <c r="K574" s="43"/>
      <c r="L574" s="43"/>
      <c r="M574" s="43"/>
      <c r="N574" s="43"/>
      <c r="O574" s="43"/>
      <c r="P574" s="43"/>
      <c r="Q574" s="43"/>
      <c r="R574" s="44"/>
      <c r="S574" s="44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ht="22.5" customHeight="1">
      <c r="A575" s="38">
        <v>46187.0</v>
      </c>
      <c r="B575" s="39" t="s">
        <v>772</v>
      </c>
      <c r="C575" s="40" t="s">
        <v>291</v>
      </c>
      <c r="D575" s="41" t="s">
        <v>1</v>
      </c>
      <c r="E575" s="42">
        <f t="shared" si="3"/>
        <v>-501327</v>
      </c>
      <c r="F575" s="42"/>
      <c r="G575" s="43"/>
      <c r="H575" s="42">
        <v>-501327.0</v>
      </c>
      <c r="I575" s="42">
        <v>1327.0</v>
      </c>
      <c r="J575" s="42"/>
      <c r="K575" s="43"/>
      <c r="L575" s="43"/>
      <c r="M575" s="43"/>
      <c r="N575" s="43"/>
      <c r="O575" s="43"/>
      <c r="P575" s="43"/>
      <c r="Q575" s="43"/>
      <c r="R575" s="44"/>
      <c r="S575" s="44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ht="22.5" customHeight="1">
      <c r="A576" s="38">
        <v>46187.0</v>
      </c>
      <c r="B576" s="39" t="s">
        <v>253</v>
      </c>
      <c r="C576" s="40" t="s">
        <v>80</v>
      </c>
      <c r="D576" s="41" t="s">
        <v>160</v>
      </c>
      <c r="E576" s="42">
        <f t="shared" si="3"/>
        <v>0</v>
      </c>
      <c r="F576" s="42">
        <v>-5000000.0</v>
      </c>
      <c r="G576" s="43"/>
      <c r="H576" s="42">
        <v>5000000.0</v>
      </c>
      <c r="I576" s="42"/>
      <c r="J576" s="42"/>
      <c r="K576" s="43"/>
      <c r="L576" s="43"/>
      <c r="M576" s="43"/>
      <c r="N576" s="43"/>
      <c r="O576" s="43"/>
      <c r="P576" s="43"/>
      <c r="Q576" s="43"/>
      <c r="R576" s="44"/>
      <c r="S576" s="44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ht="22.5" customHeight="1">
      <c r="A577" s="38">
        <v>46179.0</v>
      </c>
      <c r="B577" s="39" t="s">
        <v>773</v>
      </c>
      <c r="C577" s="40" t="s">
        <v>774</v>
      </c>
      <c r="D577" s="41" t="s">
        <v>13</v>
      </c>
      <c r="E577" s="42">
        <f t="shared" si="3"/>
        <v>-60000</v>
      </c>
      <c r="F577" s="42"/>
      <c r="G577" s="43"/>
      <c r="H577" s="42"/>
      <c r="I577" s="42"/>
      <c r="J577" s="42">
        <v>-60000.0</v>
      </c>
      <c r="K577" s="43"/>
      <c r="L577" s="43"/>
      <c r="M577" s="43"/>
      <c r="N577" s="43"/>
      <c r="O577" s="43"/>
      <c r="P577" s="43"/>
      <c r="Q577" s="43"/>
      <c r="R577" s="44"/>
      <c r="S577" s="44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ht="22.5" customHeight="1">
      <c r="A578" s="38">
        <v>46179.0</v>
      </c>
      <c r="B578" s="39" t="s">
        <v>775</v>
      </c>
      <c r="C578" s="40" t="s">
        <v>776</v>
      </c>
      <c r="D578" s="41" t="s">
        <v>13</v>
      </c>
      <c r="E578" s="42">
        <f t="shared" si="3"/>
        <v>-70000</v>
      </c>
      <c r="F578" s="42"/>
      <c r="G578" s="43"/>
      <c r="H578" s="42"/>
      <c r="I578" s="42"/>
      <c r="J578" s="42">
        <v>-70000.0</v>
      </c>
      <c r="K578" s="43"/>
      <c r="L578" s="43"/>
      <c r="M578" s="43"/>
      <c r="N578" s="43"/>
      <c r="O578" s="43"/>
      <c r="P578" s="43"/>
      <c r="Q578" s="43"/>
      <c r="R578" s="44"/>
      <c r="S578" s="44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ht="22.5" customHeight="1">
      <c r="A579" s="38">
        <v>46180.0</v>
      </c>
      <c r="B579" s="39" t="s">
        <v>777</v>
      </c>
      <c r="C579" s="40" t="s">
        <v>778</v>
      </c>
      <c r="D579" s="41" t="s">
        <v>13</v>
      </c>
      <c r="E579" s="42">
        <f t="shared" si="3"/>
        <v>-355000</v>
      </c>
      <c r="F579" s="42"/>
      <c r="G579" s="43"/>
      <c r="H579" s="42"/>
      <c r="I579" s="42"/>
      <c r="J579" s="42">
        <f>-(315000+40000)</f>
        <v>-355000</v>
      </c>
      <c r="K579" s="43"/>
      <c r="L579" s="43"/>
      <c r="M579" s="43"/>
      <c r="N579" s="43"/>
      <c r="O579" s="43"/>
      <c r="P579" s="43"/>
      <c r="Q579" s="43"/>
      <c r="R579" s="44"/>
      <c r="S579" s="44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ht="22.5" customHeight="1">
      <c r="A580" s="38">
        <v>46186.0</v>
      </c>
      <c r="B580" s="39" t="s">
        <v>779</v>
      </c>
      <c r="C580" s="40" t="s">
        <v>74</v>
      </c>
      <c r="D580" s="41" t="s">
        <v>13</v>
      </c>
      <c r="E580" s="42">
        <f t="shared" si="3"/>
        <v>-157000</v>
      </c>
      <c r="F580" s="42"/>
      <c r="G580" s="43"/>
      <c r="H580" s="42"/>
      <c r="I580" s="42"/>
      <c r="J580" s="42">
        <f>-(79000+78000)</f>
        <v>-157000</v>
      </c>
      <c r="K580" s="43"/>
      <c r="L580" s="43"/>
      <c r="M580" s="43"/>
      <c r="N580" s="43"/>
      <c r="O580" s="43"/>
      <c r="P580" s="43"/>
      <c r="Q580" s="43"/>
      <c r="R580" s="44"/>
      <c r="S580" s="44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ht="22.5" customHeight="1">
      <c r="A581" s="38">
        <v>46186.0</v>
      </c>
      <c r="B581" s="39" t="s">
        <v>780</v>
      </c>
      <c r="C581" s="40" t="s">
        <v>755</v>
      </c>
      <c r="D581" s="41" t="s">
        <v>13</v>
      </c>
      <c r="E581" s="42">
        <f t="shared" si="3"/>
        <v>-302000</v>
      </c>
      <c r="F581" s="42"/>
      <c r="G581" s="43"/>
      <c r="H581" s="42"/>
      <c r="I581" s="42"/>
      <c r="J581" s="42">
        <f>-(144000+158000)</f>
        <v>-302000</v>
      </c>
      <c r="K581" s="43"/>
      <c r="L581" s="43"/>
      <c r="M581" s="43"/>
      <c r="N581" s="43"/>
      <c r="O581" s="43"/>
      <c r="P581" s="43"/>
      <c r="Q581" s="43"/>
      <c r="R581" s="44"/>
      <c r="S581" s="44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ht="22.5" customHeight="1">
      <c r="A582" s="38">
        <v>46186.0</v>
      </c>
      <c r="B582" s="39" t="s">
        <v>781</v>
      </c>
      <c r="C582" s="40" t="s">
        <v>774</v>
      </c>
      <c r="D582" s="41" t="s">
        <v>13</v>
      </c>
      <c r="E582" s="42">
        <f t="shared" si="3"/>
        <v>-64000</v>
      </c>
      <c r="F582" s="42"/>
      <c r="G582" s="43"/>
      <c r="H582" s="42"/>
      <c r="I582" s="42"/>
      <c r="J582" s="42">
        <f>-(42000+22000)</f>
        <v>-64000</v>
      </c>
      <c r="K582" s="43"/>
      <c r="L582" s="43"/>
      <c r="M582" s="43"/>
      <c r="N582" s="43"/>
      <c r="O582" s="43"/>
      <c r="P582" s="43"/>
      <c r="Q582" s="43"/>
      <c r="R582" s="44"/>
      <c r="S582" s="44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ht="22.5" customHeight="1">
      <c r="A583" s="38">
        <v>46187.0</v>
      </c>
      <c r="B583" s="39" t="s">
        <v>252</v>
      </c>
      <c r="C583" s="40" t="s">
        <v>9</v>
      </c>
      <c r="D583" s="41" t="s">
        <v>160</v>
      </c>
      <c r="E583" s="42">
        <f t="shared" si="3"/>
        <v>0</v>
      </c>
      <c r="F583" s="42"/>
      <c r="G583" s="43"/>
      <c r="H583" s="42">
        <v>-1008000.0</v>
      </c>
      <c r="I583" s="42"/>
      <c r="J583" s="42">
        <v>1008000.0</v>
      </c>
      <c r="K583" s="43"/>
      <c r="L583" s="43"/>
      <c r="M583" s="43"/>
      <c r="N583" s="43"/>
      <c r="O583" s="43"/>
      <c r="P583" s="43"/>
      <c r="Q583" s="43"/>
      <c r="R583" s="44"/>
      <c r="S583" s="44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ht="22.5" customHeight="1">
      <c r="A584" s="38">
        <v>46186.0</v>
      </c>
      <c r="B584" s="39" t="s">
        <v>782</v>
      </c>
      <c r="C584" s="40" t="s">
        <v>755</v>
      </c>
      <c r="D584" s="41" t="s">
        <v>13</v>
      </c>
      <c r="E584" s="42">
        <f t="shared" si="3"/>
        <v>-384000</v>
      </c>
      <c r="F584" s="42"/>
      <c r="G584" s="43"/>
      <c r="H584" s="42"/>
      <c r="I584" s="42"/>
      <c r="J584" s="42">
        <f>-(120+23+96+40+40+40+25)*1000</f>
        <v>-384000</v>
      </c>
      <c r="K584" s="43"/>
      <c r="L584" s="43"/>
      <c r="M584" s="43"/>
      <c r="N584" s="43"/>
      <c r="O584" s="43"/>
      <c r="P584" s="43"/>
      <c r="Q584" s="43"/>
      <c r="R584" s="44"/>
      <c r="S584" s="44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ht="22.5" customHeight="1">
      <c r="A585" s="38">
        <v>46187.0</v>
      </c>
      <c r="B585" s="39" t="s">
        <v>252</v>
      </c>
      <c r="C585" s="40" t="s">
        <v>9</v>
      </c>
      <c r="D585" s="41" t="s">
        <v>160</v>
      </c>
      <c r="E585" s="42">
        <f t="shared" si="3"/>
        <v>0</v>
      </c>
      <c r="F585" s="42"/>
      <c r="G585" s="43"/>
      <c r="H585" s="42">
        <v>-384000.0</v>
      </c>
      <c r="I585" s="42"/>
      <c r="J585" s="42">
        <v>384000.0</v>
      </c>
      <c r="K585" s="43"/>
      <c r="L585" s="43"/>
      <c r="M585" s="43"/>
      <c r="N585" s="43"/>
      <c r="O585" s="43"/>
      <c r="P585" s="43"/>
      <c r="Q585" s="43"/>
      <c r="R585" s="44"/>
      <c r="S585" s="44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ht="22.5" customHeight="1">
      <c r="A586" s="38">
        <v>46187.0</v>
      </c>
      <c r="B586" s="39" t="s">
        <v>783</v>
      </c>
      <c r="C586" s="40" t="s">
        <v>755</v>
      </c>
      <c r="D586" s="41" t="s">
        <v>13</v>
      </c>
      <c r="E586" s="42">
        <f t="shared" si="3"/>
        <v>-365000</v>
      </c>
      <c r="F586" s="42"/>
      <c r="G586" s="43"/>
      <c r="H586" s="42"/>
      <c r="I586" s="42"/>
      <c r="J586" s="42">
        <f>-(225+50+50+40)*1000</f>
        <v>-365000</v>
      </c>
      <c r="K586" s="43"/>
      <c r="L586" s="43"/>
      <c r="M586" s="43"/>
      <c r="N586" s="43"/>
      <c r="O586" s="43"/>
      <c r="P586" s="43"/>
      <c r="Q586" s="43"/>
      <c r="R586" s="44"/>
      <c r="S586" s="44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ht="22.5" customHeight="1">
      <c r="A587" s="38">
        <v>46187.0</v>
      </c>
      <c r="B587" s="39" t="s">
        <v>252</v>
      </c>
      <c r="C587" s="40" t="s">
        <v>9</v>
      </c>
      <c r="D587" s="41" t="s">
        <v>160</v>
      </c>
      <c r="E587" s="42">
        <f t="shared" si="3"/>
        <v>0</v>
      </c>
      <c r="F587" s="42"/>
      <c r="G587" s="43"/>
      <c r="H587" s="42">
        <v>-365000.0</v>
      </c>
      <c r="I587" s="42"/>
      <c r="J587" s="42">
        <v>365000.0</v>
      </c>
      <c r="K587" s="43"/>
      <c r="L587" s="43"/>
      <c r="M587" s="43"/>
      <c r="N587" s="43"/>
      <c r="O587" s="43"/>
      <c r="P587" s="43"/>
      <c r="Q587" s="43"/>
      <c r="R587" s="44"/>
      <c r="S587" s="44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ht="22.5" customHeight="1">
      <c r="A588" s="38">
        <v>46187.0</v>
      </c>
      <c r="B588" s="39" t="s">
        <v>784</v>
      </c>
      <c r="C588" s="40" t="s">
        <v>755</v>
      </c>
      <c r="D588" s="41" t="s">
        <v>13</v>
      </c>
      <c r="E588" s="42">
        <f t="shared" si="3"/>
        <v>-234000</v>
      </c>
      <c r="F588" s="42"/>
      <c r="G588" s="43"/>
      <c r="H588" s="42"/>
      <c r="I588" s="42"/>
      <c r="J588" s="42">
        <v>-234000.0</v>
      </c>
      <c r="K588" s="43"/>
      <c r="L588" s="43"/>
      <c r="M588" s="43"/>
      <c r="N588" s="43"/>
      <c r="O588" s="43"/>
      <c r="P588" s="43"/>
      <c r="Q588" s="43"/>
      <c r="R588" s="44"/>
      <c r="S588" s="44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ht="22.5" customHeight="1">
      <c r="A589" s="38">
        <v>46187.0</v>
      </c>
      <c r="B589" s="39" t="s">
        <v>252</v>
      </c>
      <c r="C589" s="40" t="s">
        <v>9</v>
      </c>
      <c r="D589" s="41" t="s">
        <v>160</v>
      </c>
      <c r="E589" s="42">
        <f t="shared" si="3"/>
        <v>0</v>
      </c>
      <c r="F589" s="42"/>
      <c r="G589" s="43"/>
      <c r="H589" s="42">
        <v>-234000.0</v>
      </c>
      <c r="I589" s="42"/>
      <c r="J589" s="42">
        <v>234000.0</v>
      </c>
      <c r="K589" s="43"/>
      <c r="L589" s="43"/>
      <c r="M589" s="43"/>
      <c r="N589" s="43"/>
      <c r="O589" s="43"/>
      <c r="P589" s="43"/>
      <c r="Q589" s="43"/>
      <c r="R589" s="44"/>
      <c r="S589" s="44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ht="22.5" customHeight="1">
      <c r="A590" s="38">
        <v>46189.0</v>
      </c>
      <c r="B590" s="39" t="s">
        <v>785</v>
      </c>
      <c r="C590" s="40" t="s">
        <v>786</v>
      </c>
      <c r="D590" s="41" t="s">
        <v>1</v>
      </c>
      <c r="E590" s="42">
        <f t="shared" si="3"/>
        <v>-2700000</v>
      </c>
      <c r="F590" s="42"/>
      <c r="G590" s="43"/>
      <c r="H590" s="42">
        <v>-2700000.0</v>
      </c>
      <c r="I590" s="42"/>
      <c r="J590" s="42"/>
      <c r="K590" s="43"/>
      <c r="L590" s="43"/>
      <c r="M590" s="43"/>
      <c r="N590" s="43"/>
      <c r="O590" s="43"/>
      <c r="P590" s="43"/>
      <c r="Q590" s="43"/>
      <c r="R590" s="44"/>
      <c r="S590" s="44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ht="22.5" customHeight="1">
      <c r="A591" s="38">
        <v>46194.0</v>
      </c>
      <c r="B591" s="39" t="s">
        <v>739</v>
      </c>
      <c r="C591" s="40" t="s">
        <v>706</v>
      </c>
      <c r="D591" s="41" t="s">
        <v>58</v>
      </c>
      <c r="E591" s="42">
        <f t="shared" si="3"/>
        <v>12944200</v>
      </c>
      <c r="F591" s="42">
        <v>1.29442E7</v>
      </c>
      <c r="G591" s="43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4"/>
      <c r="S591" s="44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ht="22.5" customHeight="1">
      <c r="A592" s="38">
        <v>46194.0</v>
      </c>
      <c r="B592" s="39" t="s">
        <v>142</v>
      </c>
      <c r="C592" s="40" t="s">
        <v>62</v>
      </c>
      <c r="D592" s="41" t="s">
        <v>58</v>
      </c>
      <c r="E592" s="42">
        <f t="shared" si="3"/>
        <v>-6472925</v>
      </c>
      <c r="F592" s="42">
        <v>-6472925.0</v>
      </c>
      <c r="G592" s="43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4"/>
      <c r="S592" s="44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ht="22.5" customHeight="1">
      <c r="A593" s="38">
        <v>46194.0</v>
      </c>
      <c r="B593" s="39" t="s">
        <v>787</v>
      </c>
      <c r="C593" s="40"/>
      <c r="D593" s="41" t="s">
        <v>15</v>
      </c>
      <c r="E593" s="42">
        <f t="shared" si="3"/>
        <v>-159700</v>
      </c>
      <c r="F593" s="42">
        <v>-159700.0</v>
      </c>
      <c r="G593" s="43"/>
      <c r="H593" s="42"/>
      <c r="I593" s="42">
        <v>326.0</v>
      </c>
      <c r="J593" s="42"/>
      <c r="K593" s="43"/>
      <c r="L593" s="43"/>
      <c r="M593" s="43"/>
      <c r="N593" s="43"/>
      <c r="O593" s="43"/>
      <c r="P593" s="43"/>
      <c r="Q593" s="43"/>
      <c r="R593" s="44"/>
      <c r="S593" s="44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ht="22.5" customHeight="1">
      <c r="A594" s="38">
        <v>46194.0</v>
      </c>
      <c r="B594" s="39" t="s">
        <v>788</v>
      </c>
      <c r="C594" s="40" t="s">
        <v>789</v>
      </c>
      <c r="D594" s="41" t="s">
        <v>28</v>
      </c>
      <c r="E594" s="42">
        <f t="shared" si="3"/>
        <v>-900000</v>
      </c>
      <c r="F594" s="42">
        <v>-900000.0</v>
      </c>
      <c r="G594" s="43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4"/>
      <c r="S594" s="44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ht="22.5" customHeight="1">
      <c r="A595" s="38">
        <v>46194.0</v>
      </c>
      <c r="B595" s="39" t="s">
        <v>790</v>
      </c>
      <c r="C595" s="40"/>
      <c r="D595" s="41" t="s">
        <v>719</v>
      </c>
      <c r="E595" s="42">
        <f t="shared" si="3"/>
        <v>300000</v>
      </c>
      <c r="F595" s="42">
        <v>300000.0</v>
      </c>
      <c r="G595" s="43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4"/>
      <c r="S595" s="44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ht="22.5" customHeight="1">
      <c r="A596" s="38">
        <v>46200.0</v>
      </c>
      <c r="B596" s="39" t="s">
        <v>791</v>
      </c>
      <c r="C596" s="40" t="s">
        <v>786</v>
      </c>
      <c r="D596" s="41" t="s">
        <v>1</v>
      </c>
      <c r="E596" s="42">
        <f t="shared" si="3"/>
        <v>-300000</v>
      </c>
      <c r="F596" s="42"/>
      <c r="G596" s="43"/>
      <c r="H596" s="42">
        <v>-300000.0</v>
      </c>
      <c r="I596" s="42"/>
      <c r="J596" s="42"/>
      <c r="K596" s="43"/>
      <c r="L596" s="43"/>
      <c r="M596" s="43"/>
      <c r="N596" s="43"/>
      <c r="O596" s="43"/>
      <c r="P596" s="43"/>
      <c r="Q596" s="43"/>
      <c r="R596" s="44"/>
      <c r="S596" s="44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ht="22.5" customHeight="1">
      <c r="A597" s="38">
        <v>46200.0</v>
      </c>
      <c r="B597" s="39" t="s">
        <v>792</v>
      </c>
      <c r="C597" s="40" t="s">
        <v>793</v>
      </c>
      <c r="D597" s="41" t="s">
        <v>1</v>
      </c>
      <c r="E597" s="42">
        <f t="shared" si="3"/>
        <v>-500000</v>
      </c>
      <c r="F597" s="42"/>
      <c r="G597" s="43"/>
      <c r="H597" s="42">
        <v>-500000.0</v>
      </c>
      <c r="I597" s="42"/>
      <c r="J597" s="42"/>
      <c r="K597" s="43"/>
      <c r="L597" s="43"/>
      <c r="M597" s="43"/>
      <c r="N597" s="43"/>
      <c r="O597" s="43"/>
      <c r="P597" s="43"/>
      <c r="Q597" s="43"/>
      <c r="R597" s="44"/>
      <c r="S597" s="44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ht="22.5" customHeight="1">
      <c r="A598" s="38">
        <v>46203.0</v>
      </c>
      <c r="B598" s="39" t="s">
        <v>794</v>
      </c>
      <c r="C598" s="40" t="s">
        <v>795</v>
      </c>
      <c r="D598" s="41" t="s">
        <v>196</v>
      </c>
      <c r="E598" s="42">
        <f t="shared" si="3"/>
        <v>-51500</v>
      </c>
      <c r="F598" s="42"/>
      <c r="G598" s="43"/>
      <c r="H598" s="42">
        <v>-51500.0</v>
      </c>
      <c r="I598" s="42"/>
      <c r="J598" s="42"/>
      <c r="K598" s="43"/>
      <c r="L598" s="43"/>
      <c r="M598" s="43"/>
      <c r="N598" s="43"/>
      <c r="O598" s="43"/>
      <c r="P598" s="43"/>
      <c r="Q598" s="43"/>
      <c r="R598" s="44"/>
      <c r="S598" s="44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ht="22.5" customHeight="1">
      <c r="A599" s="38">
        <v>46203.0</v>
      </c>
      <c r="B599" s="39" t="s">
        <v>51</v>
      </c>
      <c r="C599" s="40"/>
      <c r="D599" s="41" t="s">
        <v>160</v>
      </c>
      <c r="E599" s="42">
        <f t="shared" si="3"/>
        <v>0</v>
      </c>
      <c r="F599" s="42">
        <v>-2700000.0</v>
      </c>
      <c r="G599" s="43"/>
      <c r="H599" s="42">
        <v>2700000.0</v>
      </c>
      <c r="I599" s="42"/>
      <c r="J599" s="42"/>
      <c r="K599" s="43"/>
      <c r="L599" s="43"/>
      <c r="M599" s="43"/>
      <c r="N599" s="43"/>
      <c r="O599" s="43"/>
      <c r="P599" s="43"/>
      <c r="Q599" s="43"/>
      <c r="R599" s="44"/>
      <c r="S599" s="44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ht="22.5" customHeight="1">
      <c r="A600" s="38">
        <v>46204.0</v>
      </c>
      <c r="B600" s="39" t="s">
        <v>796</v>
      </c>
      <c r="C600" s="40" t="s">
        <v>9</v>
      </c>
      <c r="D600" s="41" t="s">
        <v>167</v>
      </c>
      <c r="E600" s="42">
        <f t="shared" si="3"/>
        <v>-1750000</v>
      </c>
      <c r="F600" s="42"/>
      <c r="G600" s="43"/>
      <c r="H600" s="42">
        <v>-1750000.0</v>
      </c>
      <c r="I600" s="42"/>
      <c r="J600" s="42"/>
      <c r="K600" s="43"/>
      <c r="L600" s="43"/>
      <c r="M600" s="43"/>
      <c r="N600" s="43"/>
      <c r="O600" s="43"/>
      <c r="P600" s="43"/>
      <c r="Q600" s="43"/>
      <c r="R600" s="44"/>
      <c r="S600" s="44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ht="22.5" customHeight="1">
      <c r="A601" s="38">
        <v>46197.0</v>
      </c>
      <c r="B601" s="39" t="s">
        <v>576</v>
      </c>
      <c r="C601" s="40"/>
      <c r="D601" s="41" t="s">
        <v>24</v>
      </c>
      <c r="E601" s="42">
        <f t="shared" si="3"/>
        <v>-103000</v>
      </c>
      <c r="F601" s="42"/>
      <c r="G601" s="43"/>
      <c r="H601" s="42"/>
      <c r="I601" s="42"/>
      <c r="J601" s="42">
        <v>-103000.0</v>
      </c>
      <c r="K601" s="43"/>
      <c r="L601" s="43"/>
      <c r="M601" s="43"/>
      <c r="N601" s="43"/>
      <c r="O601" s="43"/>
      <c r="P601" s="43"/>
      <c r="Q601" s="43"/>
      <c r="R601" s="44"/>
      <c r="S601" s="44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ht="22.5" customHeight="1">
      <c r="A602" s="38">
        <v>46206.0</v>
      </c>
      <c r="B602" s="39" t="s">
        <v>797</v>
      </c>
      <c r="C602" s="40" t="s">
        <v>755</v>
      </c>
      <c r="D602" s="41" t="s">
        <v>13</v>
      </c>
      <c r="E602" s="42">
        <f t="shared" si="3"/>
        <v>-206000</v>
      </c>
      <c r="F602" s="42"/>
      <c r="G602" s="43"/>
      <c r="H602" s="42"/>
      <c r="I602" s="42"/>
      <c r="J602" s="42">
        <f>-(39+23+21+21+72+30)*1000</f>
        <v>-206000</v>
      </c>
      <c r="K602" s="43"/>
      <c r="L602" s="43"/>
      <c r="M602" s="43"/>
      <c r="N602" s="43"/>
      <c r="O602" s="43"/>
      <c r="P602" s="43"/>
      <c r="Q602" s="43"/>
      <c r="R602" s="44"/>
      <c r="S602" s="44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ht="22.5" customHeight="1">
      <c r="A603" s="38">
        <v>46206.0</v>
      </c>
      <c r="B603" s="39" t="s">
        <v>798</v>
      </c>
      <c r="C603" s="40" t="s">
        <v>755</v>
      </c>
      <c r="D603" s="41" t="s">
        <v>13</v>
      </c>
      <c r="E603" s="42">
        <f t="shared" si="3"/>
        <v>-213000</v>
      </c>
      <c r="F603" s="42"/>
      <c r="G603" s="43"/>
      <c r="H603" s="42"/>
      <c r="I603" s="42"/>
      <c r="J603" s="42">
        <f>-(53+25+35+48+12+20+20)*1000</f>
        <v>-213000</v>
      </c>
      <c r="K603" s="43"/>
      <c r="L603" s="43"/>
      <c r="M603" s="43"/>
      <c r="N603" s="43"/>
      <c r="O603" s="43"/>
      <c r="P603" s="43"/>
      <c r="Q603" s="43"/>
      <c r="R603" s="44"/>
      <c r="S603" s="44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22.5" customHeight="1">
      <c r="A604" s="38">
        <v>46208.0</v>
      </c>
      <c r="B604" s="39" t="s">
        <v>799</v>
      </c>
      <c r="C604" s="40" t="s">
        <v>800</v>
      </c>
      <c r="D604" s="41" t="s">
        <v>13</v>
      </c>
      <c r="E604" s="42">
        <f t="shared" si="3"/>
        <v>-300000</v>
      </c>
      <c r="F604" s="42"/>
      <c r="G604" s="43"/>
      <c r="H604" s="42"/>
      <c r="I604" s="42"/>
      <c r="J604" s="42">
        <v>-300000.0</v>
      </c>
      <c r="K604" s="43"/>
      <c r="L604" s="43"/>
      <c r="M604" s="43"/>
      <c r="N604" s="43"/>
      <c r="O604" s="43"/>
      <c r="P604" s="43"/>
      <c r="Q604" s="43"/>
      <c r="R604" s="44"/>
      <c r="S604" s="44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22.5" customHeight="1">
      <c r="A605" s="38">
        <v>46208.0</v>
      </c>
      <c r="B605" s="39" t="s">
        <v>801</v>
      </c>
      <c r="C605" s="40"/>
      <c r="D605" s="41" t="s">
        <v>24</v>
      </c>
      <c r="E605" s="42">
        <f t="shared" si="3"/>
        <v>-250000</v>
      </c>
      <c r="F605" s="42"/>
      <c r="G605" s="43"/>
      <c r="H605" s="42"/>
      <c r="I605" s="42"/>
      <c r="J605" s="42">
        <v>-250000.0</v>
      </c>
      <c r="K605" s="43"/>
      <c r="L605" s="43"/>
      <c r="M605" s="43"/>
      <c r="N605" s="43"/>
      <c r="O605" s="43"/>
      <c r="P605" s="43"/>
      <c r="Q605" s="43"/>
      <c r="R605" s="44"/>
      <c r="S605" s="44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22.5" customHeight="1">
      <c r="A606" s="38">
        <v>46208.0</v>
      </c>
      <c r="B606" s="39" t="s">
        <v>576</v>
      </c>
      <c r="C606" s="40"/>
      <c r="D606" s="41" t="s">
        <v>24</v>
      </c>
      <c r="E606" s="42">
        <f t="shared" si="3"/>
        <v>-203000</v>
      </c>
      <c r="F606" s="42"/>
      <c r="G606" s="43"/>
      <c r="H606" s="42"/>
      <c r="I606" s="42"/>
      <c r="J606" s="42">
        <v>-203000.0</v>
      </c>
      <c r="K606" s="43"/>
      <c r="L606" s="43"/>
      <c r="M606" s="43"/>
      <c r="N606" s="43"/>
      <c r="O606" s="43"/>
      <c r="P606" s="43"/>
      <c r="Q606" s="43"/>
      <c r="R606" s="44"/>
      <c r="S606" s="44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22.5" customHeight="1">
      <c r="A607" s="38">
        <v>46209.0</v>
      </c>
      <c r="B607" s="39" t="s">
        <v>673</v>
      </c>
      <c r="C607" s="40"/>
      <c r="D607" s="41" t="s">
        <v>24</v>
      </c>
      <c r="E607" s="42">
        <f t="shared" si="3"/>
        <v>-338000</v>
      </c>
      <c r="F607" s="42"/>
      <c r="G607" s="43"/>
      <c r="H607" s="42"/>
      <c r="I607" s="42"/>
      <c r="J607" s="42">
        <v>-338000.0</v>
      </c>
      <c r="K607" s="43"/>
      <c r="L607" s="43"/>
      <c r="M607" s="43"/>
      <c r="N607" s="43"/>
      <c r="O607" s="43"/>
      <c r="P607" s="43"/>
      <c r="Q607" s="43"/>
      <c r="R607" s="44"/>
      <c r="S607" s="44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22.5" customHeight="1">
      <c r="A608" s="38">
        <v>46210.0</v>
      </c>
      <c r="B608" s="39" t="s">
        <v>252</v>
      </c>
      <c r="C608" s="40" t="s">
        <v>9</v>
      </c>
      <c r="D608" s="41" t="s">
        <v>160</v>
      </c>
      <c r="E608" s="42">
        <f t="shared" si="3"/>
        <v>0</v>
      </c>
      <c r="F608" s="42"/>
      <c r="G608" s="43"/>
      <c r="H608" s="42">
        <v>-1615000.0</v>
      </c>
      <c r="I608" s="42"/>
      <c r="J608" s="42">
        <v>1615000.0</v>
      </c>
      <c r="K608" s="43"/>
      <c r="L608" s="43"/>
      <c r="M608" s="43"/>
      <c r="N608" s="43"/>
      <c r="O608" s="43"/>
      <c r="P608" s="43"/>
      <c r="Q608" s="43"/>
      <c r="R608" s="44"/>
      <c r="S608" s="44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22.5" customHeight="1">
      <c r="A609" s="38">
        <v>46208.0</v>
      </c>
      <c r="B609" s="39" t="s">
        <v>802</v>
      </c>
      <c r="C609" s="40" t="s">
        <v>746</v>
      </c>
      <c r="D609" s="41" t="s">
        <v>24</v>
      </c>
      <c r="E609" s="42">
        <f t="shared" si="3"/>
        <v>-5000000</v>
      </c>
      <c r="F609" s="42">
        <v>-5000000.0</v>
      </c>
      <c r="G609" s="43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4"/>
      <c r="S609" s="44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22.5" customHeight="1">
      <c r="A610" s="38">
        <v>46219.0</v>
      </c>
      <c r="B610" s="39" t="s">
        <v>803</v>
      </c>
      <c r="C610" s="40" t="s">
        <v>804</v>
      </c>
      <c r="D610" s="41" t="s">
        <v>163</v>
      </c>
      <c r="E610" s="42">
        <f t="shared" si="3"/>
        <v>1000000</v>
      </c>
      <c r="F610" s="42">
        <v>1000000.0</v>
      </c>
      <c r="G610" s="43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4"/>
      <c r="S610" s="44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22.5" customHeight="1">
      <c r="A611" s="38">
        <v>46219.0</v>
      </c>
      <c r="B611" s="39" t="s">
        <v>803</v>
      </c>
      <c r="C611" s="40" t="s">
        <v>805</v>
      </c>
      <c r="D611" s="41" t="s">
        <v>163</v>
      </c>
      <c r="E611" s="42">
        <f t="shared" si="3"/>
        <v>500000</v>
      </c>
      <c r="F611" s="42">
        <v>500000.0</v>
      </c>
      <c r="G611" s="43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4"/>
      <c r="S611" s="44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22.5" customHeight="1">
      <c r="A612" s="38">
        <v>46221.0</v>
      </c>
      <c r="B612" s="39" t="s">
        <v>806</v>
      </c>
      <c r="C612" s="40" t="s">
        <v>807</v>
      </c>
      <c r="D612" s="41"/>
      <c r="E612" s="42">
        <f t="shared" si="3"/>
        <v>750000</v>
      </c>
      <c r="F612" s="42">
        <v>750000.0</v>
      </c>
      <c r="G612" s="43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4"/>
      <c r="S612" s="44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22.5" customHeight="1">
      <c r="A613" s="38">
        <v>46220.0</v>
      </c>
      <c r="B613" s="39" t="s">
        <v>808</v>
      </c>
      <c r="C613" s="40" t="s">
        <v>809</v>
      </c>
      <c r="D613" s="41" t="s">
        <v>163</v>
      </c>
      <c r="E613" s="42">
        <f t="shared" si="3"/>
        <v>-10500000</v>
      </c>
      <c r="F613" s="42">
        <v>-1.05E7</v>
      </c>
      <c r="G613" s="43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4"/>
      <c r="S613" s="44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22.5" customHeight="1">
      <c r="A614" s="38">
        <v>46214.0</v>
      </c>
      <c r="B614" s="39" t="s">
        <v>810</v>
      </c>
      <c r="C614" s="40" t="s">
        <v>627</v>
      </c>
      <c r="D614" s="41" t="s">
        <v>13</v>
      </c>
      <c r="E614" s="42">
        <f t="shared" si="3"/>
        <v>-368000</v>
      </c>
      <c r="F614" s="42"/>
      <c r="G614" s="43"/>
      <c r="H614" s="42"/>
      <c r="I614" s="42"/>
      <c r="J614" s="42">
        <f>-(99000+240000+12000+17000)</f>
        <v>-368000</v>
      </c>
      <c r="K614" s="43"/>
      <c r="L614" s="43"/>
      <c r="M614" s="43"/>
      <c r="N614" s="43"/>
      <c r="O614" s="43"/>
      <c r="P614" s="43"/>
      <c r="Q614" s="43"/>
      <c r="R614" s="44"/>
      <c r="S614" s="44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22.5" customHeight="1">
      <c r="A615" s="38">
        <v>46222.0</v>
      </c>
      <c r="B615" s="39" t="s">
        <v>811</v>
      </c>
      <c r="C615" s="40" t="s">
        <v>809</v>
      </c>
      <c r="D615" s="41" t="s">
        <v>158</v>
      </c>
      <c r="E615" s="42">
        <f t="shared" si="3"/>
        <v>-100000</v>
      </c>
      <c r="F615" s="42"/>
      <c r="G615" s="43"/>
      <c r="H615" s="42"/>
      <c r="I615" s="42"/>
      <c r="J615" s="42">
        <v>-100000.0</v>
      </c>
      <c r="K615" s="43"/>
      <c r="L615" s="43"/>
      <c r="M615" s="43"/>
      <c r="N615" s="43"/>
      <c r="O615" s="43"/>
      <c r="P615" s="43"/>
      <c r="Q615" s="43"/>
      <c r="R615" s="44"/>
      <c r="S615" s="44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22.5" customHeight="1">
      <c r="A616" s="38">
        <v>46224.0</v>
      </c>
      <c r="B616" s="39" t="s">
        <v>51</v>
      </c>
      <c r="C616" s="40" t="s">
        <v>812</v>
      </c>
      <c r="D616" s="41" t="s">
        <v>160</v>
      </c>
      <c r="E616" s="42">
        <f t="shared" si="3"/>
        <v>0</v>
      </c>
      <c r="F616" s="42">
        <v>-5000000.0</v>
      </c>
      <c r="G616" s="43"/>
      <c r="H616" s="42">
        <v>5000000.0</v>
      </c>
      <c r="I616" s="42"/>
      <c r="J616" s="42"/>
      <c r="K616" s="43"/>
      <c r="L616" s="43"/>
      <c r="M616" s="43"/>
      <c r="N616" s="43"/>
      <c r="O616" s="43"/>
      <c r="P616" s="43"/>
      <c r="Q616" s="43"/>
      <c r="R616" s="44"/>
      <c r="S616" s="44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22.5" customHeight="1">
      <c r="A617" s="38">
        <v>46224.0</v>
      </c>
      <c r="B617" s="39" t="s">
        <v>506</v>
      </c>
      <c r="C617" s="40" t="s">
        <v>9</v>
      </c>
      <c r="D617" s="41" t="s">
        <v>160</v>
      </c>
      <c r="E617" s="42">
        <f t="shared" si="3"/>
        <v>0</v>
      </c>
      <c r="F617" s="42"/>
      <c r="G617" s="43"/>
      <c r="H617" s="42">
        <v>-468000.0</v>
      </c>
      <c r="I617" s="42"/>
      <c r="J617" s="42">
        <v>468000.0</v>
      </c>
      <c r="K617" s="43"/>
      <c r="L617" s="43"/>
      <c r="M617" s="43"/>
      <c r="N617" s="43"/>
      <c r="O617" s="43"/>
      <c r="P617" s="43"/>
      <c r="Q617" s="43"/>
      <c r="R617" s="44"/>
      <c r="S617" s="44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22.5" customHeight="1">
      <c r="A618" s="38">
        <v>46224.0</v>
      </c>
      <c r="B618" s="39" t="s">
        <v>813</v>
      </c>
      <c r="C618" s="40" t="s">
        <v>814</v>
      </c>
      <c r="D618" s="41" t="s">
        <v>163</v>
      </c>
      <c r="E618" s="42">
        <f t="shared" si="3"/>
        <v>-1500000</v>
      </c>
      <c r="F618" s="42"/>
      <c r="G618" s="43"/>
      <c r="H618" s="42">
        <v>-1500000.0</v>
      </c>
      <c r="I618" s="42"/>
      <c r="J618" s="42"/>
      <c r="K618" s="43"/>
      <c r="L618" s="43"/>
      <c r="M618" s="43"/>
      <c r="N618" s="43"/>
      <c r="O618" s="43"/>
      <c r="P618" s="43"/>
      <c r="Q618" s="43"/>
      <c r="R618" s="44"/>
      <c r="S618" s="44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22.5" customHeight="1">
      <c r="A619" s="38">
        <v>46224.0</v>
      </c>
      <c r="B619" s="39" t="s">
        <v>739</v>
      </c>
      <c r="C619" s="40" t="s">
        <v>706</v>
      </c>
      <c r="D619" s="41" t="s">
        <v>58</v>
      </c>
      <c r="E619" s="42">
        <f t="shared" si="3"/>
        <v>9301400</v>
      </c>
      <c r="F619" s="42">
        <v>9301400.0</v>
      </c>
      <c r="G619" s="43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4"/>
      <c r="S619" s="44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22.5" customHeight="1">
      <c r="A620" s="38">
        <v>46224.0</v>
      </c>
      <c r="B620" s="39" t="s">
        <v>142</v>
      </c>
      <c r="C620" s="40" t="s">
        <v>62</v>
      </c>
      <c r="D620" s="41" t="s">
        <v>58</v>
      </c>
      <c r="E620" s="42">
        <f t="shared" si="3"/>
        <v>-4011840</v>
      </c>
      <c r="F620" s="42">
        <v>-4011840.0</v>
      </c>
      <c r="G620" s="43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4"/>
      <c r="S620" s="44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22.5" customHeight="1">
      <c r="A621" s="38">
        <v>46225.0</v>
      </c>
      <c r="B621" s="39" t="s">
        <v>547</v>
      </c>
      <c r="C621" s="40" t="s">
        <v>62</v>
      </c>
      <c r="D621" s="41" t="s">
        <v>162</v>
      </c>
      <c r="E621" s="42">
        <f t="shared" si="3"/>
        <v>5000000</v>
      </c>
      <c r="F621" s="42">
        <v>5000000.0</v>
      </c>
      <c r="G621" s="43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4"/>
      <c r="S621" s="44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22.5" customHeight="1">
      <c r="A622" s="38">
        <v>46225.0</v>
      </c>
      <c r="B622" s="39" t="s">
        <v>738</v>
      </c>
      <c r="C622" s="40" t="s">
        <v>10</v>
      </c>
      <c r="D622" s="41" t="s">
        <v>162</v>
      </c>
      <c r="E622" s="42">
        <f t="shared" si="3"/>
        <v>-3000329</v>
      </c>
      <c r="F622" s="42">
        <v>-3000329.0</v>
      </c>
      <c r="G622" s="43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4"/>
      <c r="S622" s="44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22.5" customHeight="1">
      <c r="A623" s="38">
        <v>46227.0</v>
      </c>
      <c r="B623" s="39" t="s">
        <v>815</v>
      </c>
      <c r="C623" s="40"/>
      <c r="D623" s="41" t="s">
        <v>158</v>
      </c>
      <c r="E623" s="42">
        <f t="shared" si="3"/>
        <v>-44000</v>
      </c>
      <c r="F623" s="42"/>
      <c r="G623" s="43"/>
      <c r="H623" s="42"/>
      <c r="I623" s="42"/>
      <c r="J623" s="42">
        <v>-44000.0</v>
      </c>
      <c r="K623" s="43"/>
      <c r="L623" s="43"/>
      <c r="M623" s="43"/>
      <c r="N623" s="43"/>
      <c r="O623" s="43"/>
      <c r="P623" s="43"/>
      <c r="Q623" s="43"/>
      <c r="R623" s="44"/>
      <c r="S623" s="44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22.5" customHeight="1">
      <c r="A624" s="38">
        <v>46232.0</v>
      </c>
      <c r="B624" s="39" t="s">
        <v>716</v>
      </c>
      <c r="C624" s="40" t="s">
        <v>456</v>
      </c>
      <c r="D624" s="41" t="s">
        <v>156</v>
      </c>
      <c r="E624" s="42">
        <f t="shared" si="3"/>
        <v>-103000</v>
      </c>
      <c r="F624" s="42"/>
      <c r="G624" s="43"/>
      <c r="H624" s="42"/>
      <c r="I624" s="42"/>
      <c r="J624" s="42">
        <v>-103000.0</v>
      </c>
      <c r="K624" s="43"/>
      <c r="L624" s="43"/>
      <c r="M624" s="43"/>
      <c r="N624" s="43"/>
      <c r="O624" s="43"/>
      <c r="P624" s="43"/>
      <c r="Q624" s="43"/>
      <c r="R624" s="44"/>
      <c r="S624" s="44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22.5" customHeight="1">
      <c r="A625" s="38">
        <v>46234.0</v>
      </c>
      <c r="B625" s="39" t="s">
        <v>816</v>
      </c>
      <c r="C625" s="40" t="s">
        <v>817</v>
      </c>
      <c r="D625" s="41" t="s">
        <v>158</v>
      </c>
      <c r="E625" s="42">
        <f t="shared" si="3"/>
        <v>-96000</v>
      </c>
      <c r="F625" s="42"/>
      <c r="G625" s="43"/>
      <c r="H625" s="42"/>
      <c r="I625" s="42"/>
      <c r="J625" s="42">
        <f>-60000+-36000</f>
        <v>-96000</v>
      </c>
      <c r="K625" s="43"/>
      <c r="L625" s="43"/>
      <c r="M625" s="43"/>
      <c r="N625" s="43"/>
      <c r="O625" s="43"/>
      <c r="P625" s="43"/>
      <c r="Q625" s="43"/>
      <c r="R625" s="44"/>
      <c r="S625" s="44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22.5" customHeight="1">
      <c r="A626" s="38">
        <v>46236.0</v>
      </c>
      <c r="B626" s="39" t="s">
        <v>818</v>
      </c>
      <c r="C626" s="40" t="s">
        <v>456</v>
      </c>
      <c r="D626" s="41" t="s">
        <v>156</v>
      </c>
      <c r="E626" s="42">
        <f t="shared" si="3"/>
        <v>-585000</v>
      </c>
      <c r="F626" s="42"/>
      <c r="G626" s="43"/>
      <c r="H626" s="42"/>
      <c r="I626" s="42"/>
      <c r="J626" s="42">
        <f>-(250000+335000)</f>
        <v>-585000</v>
      </c>
      <c r="K626" s="43"/>
      <c r="L626" s="43"/>
      <c r="M626" s="43"/>
      <c r="N626" s="43"/>
      <c r="O626" s="43"/>
      <c r="P626" s="43"/>
      <c r="Q626" s="43"/>
      <c r="R626" s="44"/>
      <c r="S626" s="44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22.5" customHeight="1">
      <c r="A627" s="38">
        <v>46236.0</v>
      </c>
      <c r="B627" s="39" t="s">
        <v>819</v>
      </c>
      <c r="C627" s="40" t="s">
        <v>456</v>
      </c>
      <c r="D627" s="41" t="s">
        <v>158</v>
      </c>
      <c r="E627" s="42">
        <f t="shared" si="3"/>
        <v>-240000</v>
      </c>
      <c r="F627" s="42"/>
      <c r="G627" s="43"/>
      <c r="H627" s="42"/>
      <c r="I627" s="42"/>
      <c r="J627" s="42">
        <f>-(185000+44000+11000)</f>
        <v>-240000</v>
      </c>
      <c r="K627" s="43"/>
      <c r="L627" s="43"/>
      <c r="M627" s="43"/>
      <c r="N627" s="43"/>
      <c r="O627" s="43"/>
      <c r="P627" s="43"/>
      <c r="Q627" s="43"/>
      <c r="R627" s="44"/>
      <c r="S627" s="44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22.5" customHeight="1">
      <c r="A628" s="38">
        <v>46240.0</v>
      </c>
      <c r="B628" s="39" t="s">
        <v>820</v>
      </c>
      <c r="C628" s="40" t="s">
        <v>456</v>
      </c>
      <c r="D628" s="41" t="s">
        <v>158</v>
      </c>
      <c r="E628" s="42">
        <f t="shared" si="3"/>
        <v>-164000</v>
      </c>
      <c r="F628" s="42"/>
      <c r="G628" s="43"/>
      <c r="H628" s="42"/>
      <c r="I628" s="42"/>
      <c r="J628" s="42">
        <f>-(58000+84000+22000)</f>
        <v>-164000</v>
      </c>
      <c r="K628" s="43"/>
      <c r="L628" s="43"/>
      <c r="M628" s="43"/>
      <c r="N628" s="43"/>
      <c r="O628" s="43"/>
      <c r="P628" s="43"/>
      <c r="Q628" s="43"/>
      <c r="R628" s="44"/>
      <c r="S628" s="44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22.5" customHeight="1">
      <c r="A629" s="38">
        <v>46248.0</v>
      </c>
      <c r="B629" s="39" t="s">
        <v>821</v>
      </c>
      <c r="C629" s="40" t="s">
        <v>456</v>
      </c>
      <c r="D629" s="41" t="s">
        <v>158</v>
      </c>
      <c r="E629" s="42">
        <f t="shared" si="3"/>
        <v>-386000</v>
      </c>
      <c r="F629" s="42"/>
      <c r="G629" s="43"/>
      <c r="H629" s="42"/>
      <c r="I629" s="42"/>
      <c r="J629" s="42">
        <f>-(216000+136000+12000+22000)</f>
        <v>-386000</v>
      </c>
      <c r="K629" s="43"/>
      <c r="L629" s="43"/>
      <c r="M629" s="43"/>
      <c r="N629" s="43"/>
      <c r="O629" s="43"/>
      <c r="P629" s="43"/>
      <c r="Q629" s="43"/>
      <c r="R629" s="44"/>
      <c r="S629" s="44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22.5" customHeight="1">
      <c r="A630" s="38">
        <v>46250.0</v>
      </c>
      <c r="B630" s="39" t="s">
        <v>753</v>
      </c>
      <c r="C630" s="40" t="s">
        <v>456</v>
      </c>
      <c r="D630" s="41" t="s">
        <v>156</v>
      </c>
      <c r="E630" s="42">
        <f t="shared" si="3"/>
        <v>-103500</v>
      </c>
      <c r="F630" s="42"/>
      <c r="G630" s="43"/>
      <c r="H630" s="42"/>
      <c r="I630" s="42"/>
      <c r="J630" s="42">
        <v>-103500.0</v>
      </c>
      <c r="K630" s="43"/>
      <c r="L630" s="43"/>
      <c r="M630" s="43"/>
      <c r="N630" s="43"/>
      <c r="O630" s="43"/>
      <c r="P630" s="43"/>
      <c r="Q630" s="43"/>
      <c r="R630" s="44"/>
      <c r="S630" s="44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22.5" customHeight="1">
      <c r="A631" s="38">
        <v>46255.0</v>
      </c>
      <c r="B631" s="39" t="s">
        <v>252</v>
      </c>
      <c r="C631" s="40" t="s">
        <v>9</v>
      </c>
      <c r="D631" s="41" t="s">
        <v>160</v>
      </c>
      <c r="E631" s="42">
        <f t="shared" si="3"/>
        <v>0</v>
      </c>
      <c r="F631" s="42"/>
      <c r="G631" s="43"/>
      <c r="H631" s="42">
        <v>-653500.0</v>
      </c>
      <c r="I631" s="42"/>
      <c r="J631" s="42">
        <v>653500.0</v>
      </c>
      <c r="K631" s="43"/>
      <c r="L631" s="43"/>
      <c r="M631" s="43"/>
      <c r="N631" s="43"/>
      <c r="O631" s="43"/>
      <c r="P631" s="43"/>
      <c r="Q631" s="43"/>
      <c r="R631" s="44"/>
      <c r="S631" s="44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22.5" customHeight="1">
      <c r="A632" s="38">
        <v>46255.0</v>
      </c>
      <c r="B632" s="39" t="s">
        <v>547</v>
      </c>
      <c r="C632" s="40" t="s">
        <v>62</v>
      </c>
      <c r="D632" s="41" t="s">
        <v>162</v>
      </c>
      <c r="E632" s="42">
        <f t="shared" si="3"/>
        <v>5000000</v>
      </c>
      <c r="F632" s="42"/>
      <c r="G632" s="43"/>
      <c r="H632" s="42">
        <v>5000000.0</v>
      </c>
      <c r="I632" s="42"/>
      <c r="J632" s="42"/>
      <c r="K632" s="43"/>
      <c r="L632" s="43"/>
      <c r="M632" s="43"/>
      <c r="N632" s="43"/>
      <c r="O632" s="43"/>
      <c r="P632" s="43"/>
      <c r="Q632" s="43"/>
      <c r="R632" s="44"/>
      <c r="S632" s="44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22.5" customHeight="1">
      <c r="A633" s="38">
        <v>46255.0</v>
      </c>
      <c r="B633" s="39" t="s">
        <v>663</v>
      </c>
      <c r="C633" s="40" t="s">
        <v>10</v>
      </c>
      <c r="D633" s="41" t="s">
        <v>162</v>
      </c>
      <c r="E633" s="42">
        <f t="shared" si="3"/>
        <v>-3003326</v>
      </c>
      <c r="F633" s="42"/>
      <c r="G633" s="43"/>
      <c r="H633" s="42">
        <v>-3003326.0</v>
      </c>
      <c r="I633" s="42"/>
      <c r="J633" s="42"/>
      <c r="K633" s="43"/>
      <c r="L633" s="43"/>
      <c r="M633" s="43"/>
      <c r="N633" s="43"/>
      <c r="O633" s="43"/>
      <c r="P633" s="43"/>
      <c r="Q633" s="43"/>
      <c r="R633" s="44"/>
      <c r="S633" s="44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22.5" customHeight="1">
      <c r="A634" s="38">
        <v>46255.0</v>
      </c>
      <c r="B634" s="39" t="s">
        <v>739</v>
      </c>
      <c r="C634" s="40" t="s">
        <v>664</v>
      </c>
      <c r="D634" s="41" t="s">
        <v>58</v>
      </c>
      <c r="E634" s="42">
        <f t="shared" si="3"/>
        <v>10975400</v>
      </c>
      <c r="F634" s="42">
        <v>1.09754E7</v>
      </c>
      <c r="G634" s="43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4"/>
      <c r="S634" s="44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22.5" customHeight="1">
      <c r="A635" s="38">
        <v>46255.0</v>
      </c>
      <c r="B635" s="39" t="s">
        <v>142</v>
      </c>
      <c r="C635" s="40" t="s">
        <v>62</v>
      </c>
      <c r="D635" s="41" t="s">
        <v>58</v>
      </c>
      <c r="E635" s="42">
        <f t="shared" si="3"/>
        <v>-4899240</v>
      </c>
      <c r="F635" s="42">
        <v>-4899240.0</v>
      </c>
      <c r="G635" s="43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4"/>
      <c r="S635" s="44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22.5" customHeight="1">
      <c r="A636" s="38">
        <v>46258.0</v>
      </c>
      <c r="B636" s="39" t="s">
        <v>822</v>
      </c>
      <c r="C636" s="40" t="s">
        <v>291</v>
      </c>
      <c r="D636" s="41" t="s">
        <v>823</v>
      </c>
      <c r="E636" s="42">
        <f t="shared" si="3"/>
        <v>-601328</v>
      </c>
      <c r="F636" s="42"/>
      <c r="G636" s="43"/>
      <c r="H636" s="42">
        <v>-601328.0</v>
      </c>
      <c r="I636" s="42"/>
      <c r="J636" s="42"/>
      <c r="K636" s="43"/>
      <c r="L636" s="43"/>
      <c r="M636" s="43"/>
      <c r="N636" s="43"/>
      <c r="O636" s="43"/>
      <c r="P636" s="43"/>
      <c r="Q636" s="43"/>
      <c r="R636" s="44"/>
      <c r="S636" s="44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22.5" customHeight="1">
      <c r="A637" s="38">
        <v>46257.0</v>
      </c>
      <c r="B637" s="39" t="s">
        <v>824</v>
      </c>
      <c r="C637" s="40" t="s">
        <v>776</v>
      </c>
      <c r="D637" s="41" t="s">
        <v>156</v>
      </c>
      <c r="E637" s="42">
        <f t="shared" si="3"/>
        <v>-111000</v>
      </c>
      <c r="F637" s="42"/>
      <c r="G637" s="43"/>
      <c r="H637" s="42"/>
      <c r="I637" s="42"/>
      <c r="J637" s="42">
        <v>-111000.0</v>
      </c>
      <c r="K637" s="43"/>
      <c r="L637" s="43"/>
      <c r="M637" s="43"/>
      <c r="N637" s="43"/>
      <c r="O637" s="43"/>
      <c r="P637" s="43"/>
      <c r="Q637" s="43"/>
      <c r="R637" s="44"/>
      <c r="S637" s="44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22.5" customHeight="1">
      <c r="A638" s="38">
        <v>46264.0</v>
      </c>
      <c r="B638" s="39" t="s">
        <v>825</v>
      </c>
      <c r="C638" s="40" t="s">
        <v>755</v>
      </c>
      <c r="D638" s="41" t="s">
        <v>158</v>
      </c>
      <c r="E638" s="42">
        <f t="shared" si="3"/>
        <v>-578000</v>
      </c>
      <c r="F638" s="42"/>
      <c r="G638" s="43"/>
      <c r="H638" s="42"/>
      <c r="I638" s="42"/>
      <c r="J638" s="42">
        <f>-(150000+176000+222000+20000+10000)</f>
        <v>-578000</v>
      </c>
      <c r="K638" s="43"/>
      <c r="L638" s="43"/>
      <c r="M638" s="43"/>
      <c r="N638" s="43"/>
      <c r="O638" s="43"/>
      <c r="P638" s="43"/>
      <c r="Q638" s="43"/>
      <c r="R638" s="44"/>
      <c r="S638" s="44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22.5" customHeight="1">
      <c r="A639" s="38">
        <v>46264.0</v>
      </c>
      <c r="B639" s="39" t="s">
        <v>826</v>
      </c>
      <c r="C639" s="40" t="s">
        <v>456</v>
      </c>
      <c r="D639" s="41" t="s">
        <v>156</v>
      </c>
      <c r="E639" s="42">
        <f t="shared" si="3"/>
        <v>-45000</v>
      </c>
      <c r="F639" s="42"/>
      <c r="G639" s="43"/>
      <c r="H639" s="42"/>
      <c r="I639" s="42"/>
      <c r="J639" s="42">
        <v>-45000.0</v>
      </c>
      <c r="K639" s="43"/>
      <c r="L639" s="43"/>
      <c r="M639" s="43"/>
      <c r="N639" s="43"/>
      <c r="O639" s="43"/>
      <c r="P639" s="43"/>
      <c r="Q639" s="43"/>
      <c r="R639" s="44"/>
      <c r="S639" s="44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22.5" customHeight="1">
      <c r="A640" s="38">
        <v>46265.0</v>
      </c>
      <c r="B640" s="39" t="s">
        <v>763</v>
      </c>
      <c r="C640" s="40" t="s">
        <v>755</v>
      </c>
      <c r="D640" s="41" t="s">
        <v>170</v>
      </c>
      <c r="E640" s="42">
        <f t="shared" si="3"/>
        <v>-900204</v>
      </c>
      <c r="F640" s="42">
        <v>-900204.0</v>
      </c>
      <c r="G640" s="43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4"/>
      <c r="S640" s="44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22.5" customHeight="1">
      <c r="A641" s="38">
        <v>46265.0</v>
      </c>
      <c r="B641" s="39" t="s">
        <v>155</v>
      </c>
      <c r="C641" s="40"/>
      <c r="D641" s="41" t="s">
        <v>155</v>
      </c>
      <c r="E641" s="42">
        <f t="shared" si="3"/>
        <v>300000</v>
      </c>
      <c r="F641" s="42">
        <v>300000.0</v>
      </c>
      <c r="G641" s="43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4"/>
      <c r="S641" s="44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22.5" customHeight="1">
      <c r="A642" s="38">
        <v>46265.0</v>
      </c>
      <c r="B642" s="39" t="s">
        <v>252</v>
      </c>
      <c r="C642" s="40" t="s">
        <v>9</v>
      </c>
      <c r="D642" s="41" t="s">
        <v>160</v>
      </c>
      <c r="E642" s="42">
        <f t="shared" si="3"/>
        <v>0</v>
      </c>
      <c r="F642" s="42">
        <v>-734000.0</v>
      </c>
      <c r="G642" s="43"/>
      <c r="H642" s="42"/>
      <c r="I642" s="42"/>
      <c r="J642" s="42">
        <v>734000.0</v>
      </c>
      <c r="K642" s="43"/>
      <c r="L642" s="43"/>
      <c r="M642" s="43"/>
      <c r="N642" s="43"/>
      <c r="O642" s="43"/>
      <c r="P642" s="43"/>
      <c r="Q642" s="43"/>
      <c r="R642" s="44"/>
      <c r="S642" s="44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22.5" customHeight="1">
      <c r="A643" s="38">
        <v>46265.0</v>
      </c>
      <c r="B643" s="39" t="s">
        <v>827</v>
      </c>
      <c r="C643" s="40"/>
      <c r="D643" s="41" t="s">
        <v>160</v>
      </c>
      <c r="E643" s="42">
        <f t="shared" si="3"/>
        <v>0</v>
      </c>
      <c r="F643" s="42">
        <v>901500.0</v>
      </c>
      <c r="G643" s="42">
        <v>-901500.0</v>
      </c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4"/>
      <c r="S643" s="44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22.5" customHeight="1">
      <c r="A644" s="38">
        <v>46271.0</v>
      </c>
      <c r="B644" s="39" t="s">
        <v>828</v>
      </c>
      <c r="C644" s="40" t="s">
        <v>746</v>
      </c>
      <c r="D644" s="41" t="s">
        <v>158</v>
      </c>
      <c r="E644" s="42">
        <f t="shared" si="3"/>
        <v>-394000</v>
      </c>
      <c r="F644" s="42"/>
      <c r="G644" s="43"/>
      <c r="H644" s="42"/>
      <c r="I644" s="42"/>
      <c r="J644" s="42">
        <f>-(374000+20000)</f>
        <v>-394000</v>
      </c>
      <c r="K644" s="43"/>
      <c r="L644" s="43"/>
      <c r="M644" s="43"/>
      <c r="N644" s="43"/>
      <c r="O644" s="43"/>
      <c r="P644" s="43"/>
      <c r="Q644" s="43"/>
      <c r="R644" s="44"/>
      <c r="S644" s="44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22.5" customHeight="1">
      <c r="A645" s="38">
        <v>46271.0</v>
      </c>
      <c r="B645" s="39" t="s">
        <v>829</v>
      </c>
      <c r="C645" s="40" t="s">
        <v>830</v>
      </c>
      <c r="D645" s="41" t="s">
        <v>158</v>
      </c>
      <c r="E645" s="42">
        <f t="shared" si="3"/>
        <v>-283000</v>
      </c>
      <c r="F645" s="42"/>
      <c r="G645" s="43"/>
      <c r="H645" s="42"/>
      <c r="I645" s="42"/>
      <c r="J645" s="42">
        <f>-(45000+54000+12000+20000+75000+77000)</f>
        <v>-283000</v>
      </c>
      <c r="K645" s="43"/>
      <c r="L645" s="43"/>
      <c r="M645" s="43"/>
      <c r="N645" s="43"/>
      <c r="O645" s="43"/>
      <c r="P645" s="43"/>
      <c r="Q645" s="43"/>
      <c r="R645" s="44"/>
      <c r="S645" s="44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22.5" customHeight="1">
      <c r="A646" s="38">
        <v>46271.0</v>
      </c>
      <c r="B646" s="39" t="s">
        <v>831</v>
      </c>
      <c r="C646" s="40" t="s">
        <v>456</v>
      </c>
      <c r="D646" s="41" t="s">
        <v>156</v>
      </c>
      <c r="E646" s="42">
        <f t="shared" si="3"/>
        <v>-103000</v>
      </c>
      <c r="F646" s="42"/>
      <c r="G646" s="43"/>
      <c r="H646" s="42"/>
      <c r="I646" s="42"/>
      <c r="J646" s="42">
        <v>-103000.0</v>
      </c>
      <c r="K646" s="43"/>
      <c r="L646" s="43"/>
      <c r="M646" s="43"/>
      <c r="N646" s="43"/>
      <c r="O646" s="43"/>
      <c r="P646" s="43"/>
      <c r="Q646" s="43"/>
      <c r="R646" s="44"/>
      <c r="S646" s="44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22.5" customHeight="1">
      <c r="A647" s="38">
        <v>46272.0</v>
      </c>
      <c r="B647" s="39" t="s">
        <v>832</v>
      </c>
      <c r="C647" s="40" t="s">
        <v>456</v>
      </c>
      <c r="D647" s="41" t="s">
        <v>156</v>
      </c>
      <c r="E647" s="42">
        <f t="shared" si="3"/>
        <v>-250000</v>
      </c>
      <c r="F647" s="42"/>
      <c r="G647" s="43"/>
      <c r="H647" s="42"/>
      <c r="I647" s="42"/>
      <c r="J647" s="42">
        <v>-250000.0</v>
      </c>
      <c r="K647" s="43"/>
      <c r="L647" s="43"/>
      <c r="M647" s="43"/>
      <c r="N647" s="43"/>
      <c r="O647" s="43"/>
      <c r="P647" s="43"/>
      <c r="Q647" s="43"/>
      <c r="R647" s="44"/>
      <c r="S647" s="44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22.5" customHeight="1">
      <c r="A648" s="38">
        <v>46272.0</v>
      </c>
      <c r="B648" s="39" t="s">
        <v>833</v>
      </c>
      <c r="C648" s="40" t="s">
        <v>456</v>
      </c>
      <c r="D648" s="41" t="s">
        <v>156</v>
      </c>
      <c r="E648" s="42">
        <f t="shared" si="3"/>
        <v>-335000</v>
      </c>
      <c r="F648" s="42"/>
      <c r="G648" s="43"/>
      <c r="H648" s="42"/>
      <c r="I648" s="42"/>
      <c r="J648" s="42">
        <v>-335000.0</v>
      </c>
      <c r="K648" s="43"/>
      <c r="L648" s="43"/>
      <c r="M648" s="43"/>
      <c r="N648" s="43"/>
      <c r="O648" s="43"/>
      <c r="P648" s="43"/>
      <c r="Q648" s="43"/>
      <c r="R648" s="44"/>
      <c r="S648" s="44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22.5" customHeight="1">
      <c r="A649" s="38">
        <v>46273.0</v>
      </c>
      <c r="B649" s="39" t="s">
        <v>252</v>
      </c>
      <c r="C649" s="40" t="s">
        <v>9</v>
      </c>
      <c r="D649" s="41" t="s">
        <v>160</v>
      </c>
      <c r="E649" s="42">
        <f t="shared" si="3"/>
        <v>0</v>
      </c>
      <c r="F649" s="42">
        <v>-1365000.0</v>
      </c>
      <c r="G649" s="43"/>
      <c r="H649" s="42"/>
      <c r="I649" s="42"/>
      <c r="J649" s="42">
        <v>1365000.0</v>
      </c>
      <c r="K649" s="43"/>
      <c r="L649" s="43"/>
      <c r="M649" s="43"/>
      <c r="N649" s="43"/>
      <c r="O649" s="43"/>
      <c r="P649" s="43"/>
      <c r="Q649" s="43"/>
      <c r="R649" s="44"/>
      <c r="S649" s="44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22.5" customHeight="1">
      <c r="A650" s="38">
        <v>46273.0</v>
      </c>
      <c r="B650" s="39" t="s">
        <v>834</v>
      </c>
      <c r="C650" s="40" t="s">
        <v>746</v>
      </c>
      <c r="D650" s="41" t="s">
        <v>1</v>
      </c>
      <c r="E650" s="42">
        <f t="shared" si="3"/>
        <v>-4350000</v>
      </c>
      <c r="F650" s="42">
        <v>-4350000.0</v>
      </c>
      <c r="G650" s="43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4"/>
      <c r="S650" s="44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22.5" customHeight="1">
      <c r="A651" s="38">
        <v>46290.0</v>
      </c>
      <c r="B651" s="39" t="s">
        <v>56</v>
      </c>
      <c r="C651" s="40" t="s">
        <v>62</v>
      </c>
      <c r="D651" s="41" t="s">
        <v>162</v>
      </c>
      <c r="E651" s="42">
        <f t="shared" si="3"/>
        <v>5000000</v>
      </c>
      <c r="F651" s="42">
        <v>5000000.0</v>
      </c>
      <c r="G651" s="42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4"/>
      <c r="S651" s="44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22.5" customHeight="1">
      <c r="A652" s="38">
        <v>46292.0</v>
      </c>
      <c r="B652" s="39" t="s">
        <v>835</v>
      </c>
      <c r="C652" s="40" t="s">
        <v>762</v>
      </c>
      <c r="D652" s="41" t="s">
        <v>823</v>
      </c>
      <c r="E652" s="42">
        <f t="shared" si="3"/>
        <v>-200326</v>
      </c>
      <c r="F652" s="42"/>
      <c r="G652" s="42"/>
      <c r="H652" s="42">
        <v>-200326.0</v>
      </c>
      <c r="I652" s="42"/>
      <c r="J652" s="42"/>
      <c r="K652" s="43"/>
      <c r="L652" s="43"/>
      <c r="M652" s="42">
        <v>200000.0</v>
      </c>
      <c r="N652" s="43"/>
      <c r="O652" s="43"/>
      <c r="P652" s="43"/>
      <c r="Q652" s="43"/>
      <c r="R652" s="44"/>
      <c r="S652" s="44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22.5" customHeight="1">
      <c r="A653" s="38">
        <v>46292.0</v>
      </c>
      <c r="B653" s="39" t="s">
        <v>836</v>
      </c>
      <c r="C653" s="40" t="s">
        <v>837</v>
      </c>
      <c r="D653" s="41" t="s">
        <v>162</v>
      </c>
      <c r="E653" s="42">
        <f t="shared" si="3"/>
        <v>-3000327</v>
      </c>
      <c r="F653" s="42">
        <v>-3000327.0</v>
      </c>
      <c r="G653" s="42"/>
      <c r="H653" s="42"/>
      <c r="I653" s="42"/>
      <c r="J653" s="42"/>
      <c r="K653" s="42">
        <v>3000000.0</v>
      </c>
      <c r="L653" s="43"/>
      <c r="M653" s="43"/>
      <c r="N653" s="43"/>
      <c r="O653" s="43"/>
      <c r="P653" s="43"/>
      <c r="Q653" s="43"/>
      <c r="R653" s="44"/>
      <c r="S653" s="44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22.5" customHeight="1">
      <c r="A654" s="38">
        <v>46295.0</v>
      </c>
      <c r="B654" s="39" t="s">
        <v>739</v>
      </c>
      <c r="C654" s="40" t="s">
        <v>706</v>
      </c>
      <c r="D654" s="41" t="s">
        <v>58</v>
      </c>
      <c r="E654" s="42">
        <f t="shared" si="3"/>
        <v>15411650</v>
      </c>
      <c r="F654" s="42">
        <v>1.541165E7</v>
      </c>
      <c r="G654" s="42"/>
      <c r="H654" s="42"/>
      <c r="I654" s="42"/>
      <c r="J654" s="42"/>
      <c r="K654" s="42"/>
      <c r="L654" s="43"/>
      <c r="M654" s="43"/>
      <c r="N654" s="43"/>
      <c r="O654" s="43"/>
      <c r="P654" s="43"/>
      <c r="Q654" s="43"/>
      <c r="R654" s="44"/>
      <c r="S654" s="44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22.5" customHeight="1">
      <c r="A655" s="38">
        <v>46295.0</v>
      </c>
      <c r="B655" s="39" t="s">
        <v>838</v>
      </c>
      <c r="C655" s="40" t="s">
        <v>62</v>
      </c>
      <c r="D655" s="41" t="s">
        <v>58</v>
      </c>
      <c r="E655" s="42">
        <f t="shared" si="3"/>
        <v>-7587340</v>
      </c>
      <c r="F655" s="42">
        <v>-7587340.0</v>
      </c>
      <c r="G655" s="42"/>
      <c r="H655" s="42"/>
      <c r="I655" s="42"/>
      <c r="J655" s="42"/>
      <c r="K655" s="42"/>
      <c r="L655" s="43"/>
      <c r="M655" s="43"/>
      <c r="N655" s="43"/>
      <c r="O655" s="43"/>
      <c r="P655" s="43"/>
      <c r="Q655" s="43"/>
      <c r="R655" s="44"/>
      <c r="S655" s="44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22.5" customHeight="1">
      <c r="A656" s="38">
        <v>46295.0</v>
      </c>
      <c r="B656" s="39" t="s">
        <v>839</v>
      </c>
      <c r="C656" s="40" t="s">
        <v>706</v>
      </c>
      <c r="D656" s="41" t="s">
        <v>154</v>
      </c>
      <c r="E656" s="42">
        <f t="shared" si="3"/>
        <v>17730000</v>
      </c>
      <c r="F656" s="42"/>
      <c r="G656" s="42">
        <v>1.773E7</v>
      </c>
      <c r="H656" s="42"/>
      <c r="I656" s="42"/>
      <c r="J656" s="42"/>
      <c r="K656" s="42"/>
      <c r="L656" s="43"/>
      <c r="M656" s="43"/>
      <c r="N656" s="43"/>
      <c r="O656" s="43"/>
      <c r="P656" s="43"/>
      <c r="Q656" s="43"/>
      <c r="R656" s="44"/>
      <c r="S656" s="44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22.5" customHeight="1">
      <c r="A657" s="38">
        <v>46295.0</v>
      </c>
      <c r="B657" s="39" t="s">
        <v>840</v>
      </c>
      <c r="C657" s="40" t="s">
        <v>62</v>
      </c>
      <c r="D657" s="41" t="s">
        <v>154</v>
      </c>
      <c r="E657" s="42">
        <f t="shared" si="3"/>
        <v>-17730000</v>
      </c>
      <c r="F657" s="42"/>
      <c r="G657" s="42">
        <v>-1.773E7</v>
      </c>
      <c r="H657" s="42"/>
      <c r="I657" s="42"/>
      <c r="J657" s="42"/>
      <c r="K657" s="42"/>
      <c r="L657" s="43"/>
      <c r="M657" s="43"/>
      <c r="N657" s="43"/>
      <c r="O657" s="43"/>
      <c r="P657" s="43"/>
      <c r="Q657" s="43"/>
      <c r="R657" s="44"/>
      <c r="S657" s="44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22.5" customHeight="1">
      <c r="A658" s="38">
        <v>46295.0</v>
      </c>
      <c r="B658" s="39" t="s">
        <v>748</v>
      </c>
      <c r="C658" s="40" t="s">
        <v>749</v>
      </c>
      <c r="D658" s="41" t="s">
        <v>123</v>
      </c>
      <c r="E658" s="42">
        <f t="shared" si="3"/>
        <v>-28040.84</v>
      </c>
      <c r="F658" s="45">
        <v>-18040.84</v>
      </c>
      <c r="G658" s="42">
        <v>-10000.0</v>
      </c>
      <c r="H658" s="42"/>
      <c r="I658" s="42"/>
      <c r="J658" s="42"/>
      <c r="K658" s="42"/>
      <c r="L658" s="43"/>
      <c r="M658" s="43"/>
      <c r="N658" s="43"/>
      <c r="O658" s="43"/>
      <c r="P658" s="43"/>
      <c r="Q658" s="43"/>
      <c r="R658" s="44"/>
      <c r="S658" s="44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22.5" customHeight="1">
      <c r="A659" s="38">
        <v>46295.0</v>
      </c>
      <c r="B659" s="39" t="s">
        <v>841</v>
      </c>
      <c r="C659" s="40"/>
      <c r="D659" s="41" t="s">
        <v>155</v>
      </c>
      <c r="E659" s="42">
        <f t="shared" si="3"/>
        <v>362250</v>
      </c>
      <c r="F659" s="42">
        <v>342250.0</v>
      </c>
      <c r="G659" s="42">
        <v>20000.0</v>
      </c>
      <c r="H659" s="42"/>
      <c r="I659" s="42"/>
      <c r="J659" s="42"/>
      <c r="K659" s="42"/>
      <c r="L659" s="43"/>
      <c r="M659" s="43"/>
      <c r="N659" s="43"/>
      <c r="O659" s="43"/>
      <c r="P659" s="43"/>
      <c r="Q659" s="43"/>
      <c r="R659" s="44"/>
      <c r="S659" s="44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22.5" customHeight="1">
      <c r="A660" s="38">
        <v>46297.0</v>
      </c>
      <c r="B660" s="39" t="s">
        <v>707</v>
      </c>
      <c r="C660" s="40" t="s">
        <v>755</v>
      </c>
      <c r="D660" s="41" t="s">
        <v>170</v>
      </c>
      <c r="E660" s="42">
        <f t="shared" si="3"/>
        <v>-900326</v>
      </c>
      <c r="F660" s="42">
        <v>-900326.0</v>
      </c>
      <c r="G660" s="42"/>
      <c r="H660" s="42"/>
      <c r="I660" s="42"/>
      <c r="J660" s="42"/>
      <c r="K660" s="43"/>
      <c r="L660" s="43"/>
      <c r="M660" s="42"/>
      <c r="N660" s="43"/>
      <c r="O660" s="43"/>
      <c r="P660" s="43"/>
      <c r="Q660" s="43"/>
      <c r="R660" s="44"/>
      <c r="S660" s="44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22.5" customHeight="1">
      <c r="A661" s="38">
        <v>46297.0</v>
      </c>
      <c r="B661" s="39" t="s">
        <v>25</v>
      </c>
      <c r="C661" s="40" t="s">
        <v>9</v>
      </c>
      <c r="D661" s="41" t="s">
        <v>167</v>
      </c>
      <c r="E661" s="42">
        <f t="shared" si="3"/>
        <v>0</v>
      </c>
      <c r="F661" s="42"/>
      <c r="G661" s="42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4"/>
      <c r="S661" s="44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22.5" customHeight="1">
      <c r="A662" s="38">
        <v>46298.0</v>
      </c>
      <c r="B662" s="39" t="s">
        <v>842</v>
      </c>
      <c r="C662" s="40"/>
      <c r="D662" s="41" t="s">
        <v>160</v>
      </c>
      <c r="E662" s="42">
        <f t="shared" si="3"/>
        <v>0</v>
      </c>
      <c r="F662" s="42">
        <v>-7000000.0</v>
      </c>
      <c r="G662" s="42"/>
      <c r="H662" s="42">
        <v>7000000.0</v>
      </c>
      <c r="I662" s="42"/>
      <c r="J662" s="42"/>
      <c r="K662" s="43"/>
      <c r="L662" s="43"/>
      <c r="M662" s="43"/>
      <c r="N662" s="43"/>
      <c r="O662" s="43"/>
      <c r="P662" s="43"/>
      <c r="Q662" s="43"/>
      <c r="R662" s="44"/>
      <c r="S662" s="44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22.5" customHeight="1">
      <c r="A663" s="38">
        <v>46298.0</v>
      </c>
      <c r="B663" s="39" t="s">
        <v>843</v>
      </c>
      <c r="C663" s="40" t="s">
        <v>809</v>
      </c>
      <c r="D663" s="41"/>
      <c r="E663" s="42">
        <f t="shared" si="3"/>
        <v>0</v>
      </c>
      <c r="F663" s="42"/>
      <c r="G663" s="42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4"/>
      <c r="S663" s="44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46"/>
      <c r="B664" s="47"/>
      <c r="C664" s="48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46"/>
      <c r="B665" s="47"/>
      <c r="C665" s="4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46"/>
      <c r="B666" s="47"/>
      <c r="C666" s="48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46"/>
      <c r="B667" s="47"/>
      <c r="C667" s="4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46"/>
      <c r="B668" s="47"/>
      <c r="C668" s="48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46"/>
      <c r="B669" s="47"/>
      <c r="C669" s="4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46"/>
      <c r="B670" s="47"/>
      <c r="C670" s="48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46"/>
      <c r="B671" s="47"/>
      <c r="C671" s="4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46"/>
      <c r="B672" s="47"/>
      <c r="C672" s="48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46"/>
      <c r="B673" s="47"/>
      <c r="C673" s="4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46"/>
      <c r="B674" s="47"/>
      <c r="C674" s="48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46"/>
      <c r="B675" s="47"/>
      <c r="C675" s="4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46"/>
      <c r="B676" s="47"/>
      <c r="C676" s="48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46"/>
      <c r="B677" s="47"/>
      <c r="C677" s="4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46"/>
      <c r="B678" s="47"/>
      <c r="C678" s="48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46"/>
      <c r="B679" s="47"/>
      <c r="C679" s="4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46"/>
      <c r="B680" s="47"/>
      <c r="C680" s="48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46"/>
      <c r="B681" s="47"/>
      <c r="C681" s="4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46"/>
      <c r="B682" s="47"/>
      <c r="C682" s="48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46"/>
      <c r="B683" s="47"/>
      <c r="C683" s="4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46"/>
      <c r="B684" s="47"/>
      <c r="C684" s="48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46"/>
      <c r="B685" s="47"/>
      <c r="C685" s="4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46"/>
      <c r="B686" s="47"/>
      <c r="C686" s="48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46"/>
      <c r="B687" s="47"/>
      <c r="C687" s="4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46"/>
      <c r="B688" s="47"/>
      <c r="C688" s="48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46"/>
      <c r="B689" s="47"/>
      <c r="C689" s="4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46"/>
      <c r="B690" s="47"/>
      <c r="C690" s="48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46"/>
      <c r="B691" s="47"/>
      <c r="C691" s="4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46"/>
      <c r="B692" s="47"/>
      <c r="C692" s="48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46"/>
      <c r="B693" s="47"/>
      <c r="C693" s="4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46"/>
      <c r="B694" s="47"/>
      <c r="C694" s="48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46"/>
      <c r="B695" s="47"/>
      <c r="C695" s="4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46"/>
      <c r="B696" s="47"/>
      <c r="C696" s="48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46"/>
      <c r="B697" s="47"/>
      <c r="C697" s="4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46"/>
      <c r="B698" s="47"/>
      <c r="C698" s="48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46"/>
      <c r="B699" s="47"/>
      <c r="C699" s="4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46"/>
      <c r="B700" s="47"/>
      <c r="C700" s="48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46"/>
      <c r="B701" s="47"/>
      <c r="C701" s="4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46"/>
      <c r="B702" s="47"/>
      <c r="C702" s="48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46"/>
      <c r="B703" s="47"/>
      <c r="C703" s="4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46"/>
      <c r="B704" s="47"/>
      <c r="C704" s="48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46"/>
      <c r="B705" s="47"/>
      <c r="C705" s="4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46"/>
      <c r="B706" s="47"/>
      <c r="C706" s="48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46"/>
      <c r="B707" s="47"/>
      <c r="C707" s="4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46"/>
      <c r="B708" s="47"/>
      <c r="C708" s="48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46"/>
      <c r="B709" s="47"/>
      <c r="C709" s="4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46"/>
      <c r="B710" s="47"/>
      <c r="C710" s="48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46"/>
      <c r="B711" s="47"/>
      <c r="C711" s="4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46"/>
      <c r="B712" s="47"/>
      <c r="C712" s="48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46"/>
      <c r="B713" s="47"/>
      <c r="C713" s="4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46"/>
      <c r="B714" s="47"/>
      <c r="C714" s="48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46"/>
      <c r="B715" s="47"/>
      <c r="C715" s="4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46"/>
      <c r="B716" s="47"/>
      <c r="C716" s="48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46"/>
      <c r="B717" s="47"/>
      <c r="C717" s="4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46"/>
      <c r="B718" s="47"/>
      <c r="C718" s="48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46"/>
      <c r="B719" s="47"/>
      <c r="C719" s="4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46"/>
      <c r="B720" s="47"/>
      <c r="C720" s="48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46"/>
      <c r="B721" s="47"/>
      <c r="C721" s="4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46"/>
      <c r="B722" s="47"/>
      <c r="C722" s="48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46"/>
      <c r="B723" s="47"/>
      <c r="C723" s="4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46"/>
      <c r="B724" s="47"/>
      <c r="C724" s="48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46"/>
      <c r="B725" s="47"/>
      <c r="C725" s="4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46"/>
      <c r="B726" s="47"/>
      <c r="C726" s="48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46"/>
      <c r="B727" s="47"/>
      <c r="C727" s="4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46"/>
      <c r="B728" s="47"/>
      <c r="C728" s="48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46"/>
      <c r="B729" s="47"/>
      <c r="C729" s="4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46"/>
      <c r="B730" s="47"/>
      <c r="C730" s="48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46"/>
      <c r="B731" s="47"/>
      <c r="C731" s="4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46"/>
      <c r="B732" s="47"/>
      <c r="C732" s="48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46"/>
      <c r="B733" s="47"/>
      <c r="C733" s="4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46"/>
      <c r="B734" s="47"/>
      <c r="C734" s="48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46"/>
      <c r="B735" s="47"/>
      <c r="C735" s="4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46"/>
      <c r="B736" s="47"/>
      <c r="C736" s="48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46"/>
      <c r="B737" s="47"/>
      <c r="C737" s="4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46"/>
      <c r="B738" s="47"/>
      <c r="C738" s="48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46"/>
      <c r="B739" s="47"/>
      <c r="C739" s="4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46"/>
      <c r="B740" s="47"/>
      <c r="C740" s="48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46"/>
      <c r="B741" s="47"/>
      <c r="C741" s="4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46"/>
      <c r="B742" s="47"/>
      <c r="C742" s="48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46"/>
      <c r="B743" s="47"/>
      <c r="C743" s="4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46"/>
      <c r="B744" s="47"/>
      <c r="C744" s="48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46"/>
      <c r="B745" s="47"/>
      <c r="C745" s="4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46"/>
      <c r="B746" s="47"/>
      <c r="C746" s="48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46"/>
      <c r="B747" s="47"/>
      <c r="C747" s="4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46"/>
      <c r="B748" s="47"/>
      <c r="C748" s="48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46"/>
      <c r="B749" s="47"/>
      <c r="C749" s="4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46"/>
      <c r="B750" s="47"/>
      <c r="C750" s="48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46"/>
      <c r="B751" s="47"/>
      <c r="C751" s="4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46"/>
      <c r="B752" s="47"/>
      <c r="C752" s="48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46"/>
      <c r="B753" s="47"/>
      <c r="C753" s="4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46"/>
      <c r="B754" s="47"/>
      <c r="C754" s="48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46"/>
      <c r="B755" s="47"/>
      <c r="C755" s="4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46"/>
      <c r="B756" s="47"/>
      <c r="C756" s="48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46"/>
      <c r="B757" s="47"/>
      <c r="C757" s="4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46"/>
      <c r="B758" s="47"/>
      <c r="C758" s="48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46"/>
      <c r="B759" s="47"/>
      <c r="C759" s="4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46"/>
      <c r="B760" s="47"/>
      <c r="C760" s="48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46"/>
      <c r="B761" s="47"/>
      <c r="C761" s="4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46"/>
      <c r="B762" s="47"/>
      <c r="C762" s="48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46"/>
      <c r="B763" s="47"/>
      <c r="C763" s="4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46"/>
      <c r="B764" s="47"/>
      <c r="C764" s="48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46"/>
      <c r="B765" s="47"/>
      <c r="C765" s="4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46"/>
      <c r="B766" s="47"/>
      <c r="C766" s="48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46"/>
      <c r="B767" s="47"/>
      <c r="C767" s="4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46"/>
      <c r="B768" s="47"/>
      <c r="C768" s="48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46"/>
      <c r="B769" s="47"/>
      <c r="C769" s="4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46"/>
      <c r="B770" s="47"/>
      <c r="C770" s="48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46"/>
      <c r="B771" s="47"/>
      <c r="C771" s="4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46"/>
      <c r="B772" s="47"/>
      <c r="C772" s="48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46"/>
      <c r="B773" s="47"/>
      <c r="C773" s="4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46"/>
      <c r="B774" s="47"/>
      <c r="C774" s="48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46"/>
      <c r="B775" s="47"/>
      <c r="C775" s="4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46"/>
      <c r="B776" s="47"/>
      <c r="C776" s="48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46"/>
      <c r="B777" s="47"/>
      <c r="C777" s="4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46"/>
      <c r="B778" s="47"/>
      <c r="C778" s="48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46"/>
      <c r="B779" s="47"/>
      <c r="C779" s="4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46"/>
      <c r="B780" s="47"/>
      <c r="C780" s="48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46"/>
      <c r="B781" s="47"/>
      <c r="C781" s="4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46"/>
      <c r="B782" s="47"/>
      <c r="C782" s="48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46"/>
      <c r="B783" s="47"/>
      <c r="C783" s="4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46"/>
      <c r="B784" s="47"/>
      <c r="C784" s="48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46"/>
      <c r="B785" s="47"/>
      <c r="C785" s="4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46"/>
      <c r="B786" s="47"/>
      <c r="C786" s="48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46"/>
      <c r="B787" s="47"/>
      <c r="C787" s="4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46"/>
      <c r="B788" s="47"/>
      <c r="C788" s="48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46"/>
      <c r="B789" s="47"/>
      <c r="C789" s="4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46"/>
      <c r="B790" s="47"/>
      <c r="C790" s="48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46"/>
      <c r="B791" s="47"/>
      <c r="C791" s="4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46"/>
      <c r="B792" s="47"/>
      <c r="C792" s="48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46"/>
      <c r="B793" s="47"/>
      <c r="C793" s="4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46"/>
      <c r="B794" s="47"/>
      <c r="C794" s="48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46"/>
      <c r="B795" s="47"/>
      <c r="C795" s="4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46"/>
      <c r="B796" s="47"/>
      <c r="C796" s="48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46"/>
      <c r="B797" s="47"/>
      <c r="C797" s="4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46"/>
      <c r="B798" s="47"/>
      <c r="C798" s="48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46"/>
      <c r="B799" s="47"/>
      <c r="C799" s="4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46"/>
      <c r="B800" s="47"/>
      <c r="C800" s="48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46"/>
      <c r="B801" s="47"/>
      <c r="C801" s="4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46"/>
      <c r="B802" s="47"/>
      <c r="C802" s="48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46"/>
      <c r="B803" s="47"/>
      <c r="C803" s="4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46"/>
      <c r="B804" s="47"/>
      <c r="C804" s="48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46"/>
      <c r="B805" s="47"/>
      <c r="C805" s="4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46"/>
      <c r="B806" s="47"/>
      <c r="C806" s="48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46"/>
      <c r="B807" s="47"/>
      <c r="C807" s="4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46"/>
      <c r="B808" s="47"/>
      <c r="C808" s="48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46"/>
      <c r="B809" s="47"/>
      <c r="C809" s="4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46"/>
      <c r="B810" s="47"/>
      <c r="C810" s="48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46"/>
      <c r="B811" s="47"/>
      <c r="C811" s="4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46"/>
      <c r="B812" s="47"/>
      <c r="C812" s="48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46"/>
      <c r="B813" s="47"/>
      <c r="C813" s="4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46"/>
      <c r="B814" s="47"/>
      <c r="C814" s="48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46"/>
      <c r="B815" s="47"/>
      <c r="C815" s="4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46"/>
      <c r="B816" s="47"/>
      <c r="C816" s="48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46"/>
      <c r="B817" s="47"/>
      <c r="C817" s="4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46"/>
      <c r="B818" s="47"/>
      <c r="C818" s="48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46"/>
      <c r="B819" s="47"/>
      <c r="C819" s="4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46"/>
      <c r="B820" s="47"/>
      <c r="C820" s="48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46"/>
      <c r="B821" s="47"/>
      <c r="C821" s="4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46"/>
      <c r="B822" s="47"/>
      <c r="C822" s="48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46"/>
      <c r="B823" s="47"/>
      <c r="C823" s="4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46"/>
      <c r="B824" s="47"/>
      <c r="C824" s="48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46"/>
      <c r="B825" s="47"/>
      <c r="C825" s="4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46"/>
      <c r="B826" s="47"/>
      <c r="C826" s="48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46"/>
      <c r="B827" s="47"/>
      <c r="C827" s="4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46"/>
      <c r="B828" s="47"/>
      <c r="C828" s="48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46"/>
      <c r="B829" s="47"/>
      <c r="C829" s="4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46"/>
      <c r="B830" s="47"/>
      <c r="C830" s="48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46"/>
      <c r="B831" s="47"/>
      <c r="C831" s="4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46"/>
      <c r="B832" s="47"/>
      <c r="C832" s="48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46"/>
      <c r="B833" s="47"/>
      <c r="C833" s="4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46"/>
      <c r="B834" s="47"/>
      <c r="C834" s="48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46"/>
      <c r="B835" s="47"/>
      <c r="C835" s="4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46"/>
      <c r="B836" s="47"/>
      <c r="C836" s="48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46"/>
      <c r="B837" s="47"/>
      <c r="C837" s="4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46"/>
      <c r="B838" s="47"/>
      <c r="C838" s="48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46"/>
      <c r="B839" s="47"/>
      <c r="C839" s="4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46"/>
      <c r="B840" s="47"/>
      <c r="C840" s="48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46"/>
      <c r="B841" s="47"/>
      <c r="C841" s="4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46"/>
      <c r="B842" s="47"/>
      <c r="C842" s="48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46"/>
      <c r="B843" s="47"/>
      <c r="C843" s="4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46"/>
      <c r="B844" s="47"/>
      <c r="C844" s="48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46"/>
      <c r="B845" s="47"/>
      <c r="C845" s="4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46"/>
      <c r="B846" s="47"/>
      <c r="C846" s="48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46"/>
      <c r="B847" s="47"/>
      <c r="C847" s="4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46"/>
      <c r="B848" s="47"/>
      <c r="C848" s="48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46"/>
      <c r="B849" s="47"/>
      <c r="C849" s="4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46"/>
      <c r="B850" s="47"/>
      <c r="C850" s="48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46"/>
      <c r="B851" s="47"/>
      <c r="C851" s="4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46"/>
      <c r="B852" s="47"/>
      <c r="C852" s="48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46"/>
      <c r="B853" s="47"/>
      <c r="C853" s="4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46"/>
      <c r="B854" s="47"/>
      <c r="C854" s="48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46"/>
      <c r="B855" s="47"/>
      <c r="C855" s="4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46"/>
      <c r="B856" s="47"/>
      <c r="C856" s="48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46"/>
      <c r="B857" s="47"/>
      <c r="C857" s="4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46"/>
      <c r="B858" s="47"/>
      <c r="C858" s="48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46"/>
      <c r="B859" s="47"/>
      <c r="C859" s="4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46"/>
      <c r="B860" s="47"/>
      <c r="C860" s="48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46"/>
      <c r="B861" s="47"/>
      <c r="C861" s="4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46"/>
      <c r="B862" s="47"/>
      <c r="C862" s="48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46"/>
      <c r="B863" s="47"/>
      <c r="C863" s="4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46"/>
      <c r="B864" s="47"/>
      <c r="C864" s="48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46"/>
      <c r="B865" s="47"/>
      <c r="C865" s="4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46"/>
      <c r="B866" s="47"/>
      <c r="C866" s="48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46"/>
      <c r="B867" s="47"/>
      <c r="C867" s="4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46"/>
      <c r="B868" s="47"/>
      <c r="C868" s="48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46"/>
      <c r="B869" s="47"/>
      <c r="C869" s="4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46"/>
      <c r="B870" s="47"/>
      <c r="C870" s="48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46"/>
      <c r="B871" s="47"/>
      <c r="C871" s="4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46"/>
      <c r="B872" s="47"/>
      <c r="C872" s="48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46"/>
      <c r="B873" s="47"/>
      <c r="C873" s="4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46"/>
      <c r="B874" s="47"/>
      <c r="C874" s="48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46"/>
      <c r="B875" s="47"/>
      <c r="C875" s="4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46"/>
      <c r="B876" s="47"/>
      <c r="C876" s="48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46"/>
      <c r="B877" s="47"/>
      <c r="C877" s="4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46"/>
      <c r="B878" s="47"/>
      <c r="C878" s="48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46"/>
      <c r="B879" s="47"/>
      <c r="C879" s="4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46"/>
      <c r="B880" s="47"/>
      <c r="C880" s="48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46"/>
      <c r="B881" s="47"/>
      <c r="C881" s="4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46"/>
      <c r="B882" s="47"/>
      <c r="C882" s="48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46"/>
      <c r="B883" s="47"/>
      <c r="C883" s="4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46"/>
      <c r="B884" s="47"/>
      <c r="C884" s="48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46"/>
      <c r="B885" s="47"/>
      <c r="C885" s="4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46"/>
      <c r="B886" s="47"/>
      <c r="C886" s="48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46"/>
      <c r="B887" s="47"/>
      <c r="C887" s="4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46"/>
      <c r="B888" s="47"/>
      <c r="C888" s="48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46"/>
      <c r="B889" s="47"/>
      <c r="C889" s="4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46"/>
      <c r="B890" s="47"/>
      <c r="C890" s="48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46"/>
      <c r="B891" s="47"/>
      <c r="C891" s="4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46"/>
      <c r="B892" s="47"/>
      <c r="C892" s="48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46"/>
      <c r="B893" s="47"/>
      <c r="C893" s="4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46"/>
      <c r="B894" s="47"/>
      <c r="C894" s="48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46"/>
      <c r="B895" s="47"/>
      <c r="C895" s="4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46"/>
      <c r="B896" s="47"/>
      <c r="C896" s="48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46"/>
      <c r="B897" s="47"/>
      <c r="C897" s="4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46"/>
      <c r="B898" s="47"/>
      <c r="C898" s="48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46"/>
      <c r="B899" s="47"/>
      <c r="C899" s="4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46"/>
      <c r="B900" s="47"/>
      <c r="C900" s="48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46"/>
      <c r="B901" s="47"/>
      <c r="C901" s="4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46"/>
      <c r="B902" s="47"/>
      <c r="C902" s="48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46"/>
      <c r="B903" s="47"/>
      <c r="C903" s="4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46"/>
      <c r="B904" s="47"/>
      <c r="C904" s="48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46"/>
      <c r="B905" s="47"/>
      <c r="C905" s="4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46"/>
      <c r="B906" s="47"/>
      <c r="C906" s="48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46"/>
      <c r="B907" s="47"/>
      <c r="C907" s="4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46"/>
      <c r="B908" s="47"/>
      <c r="C908" s="48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46"/>
      <c r="B909" s="47"/>
      <c r="C909" s="4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46"/>
      <c r="B910" s="47"/>
      <c r="C910" s="48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46"/>
      <c r="B911" s="47"/>
      <c r="C911" s="4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46"/>
      <c r="B912" s="47"/>
      <c r="C912" s="48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46"/>
      <c r="B913" s="47"/>
      <c r="C913" s="4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46"/>
      <c r="B914" s="47"/>
      <c r="C914" s="48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46"/>
      <c r="B915" s="47"/>
      <c r="C915" s="4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46"/>
      <c r="B916" s="47"/>
      <c r="C916" s="48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46"/>
      <c r="B917" s="47"/>
      <c r="C917" s="4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46"/>
      <c r="B918" s="47"/>
      <c r="C918" s="48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46"/>
      <c r="B919" s="47"/>
      <c r="C919" s="4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46"/>
      <c r="B920" s="47"/>
      <c r="C920" s="48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46"/>
      <c r="B921" s="47"/>
      <c r="C921" s="4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46"/>
      <c r="B922" s="47"/>
      <c r="C922" s="48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46"/>
      <c r="B923" s="47"/>
      <c r="C923" s="4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46"/>
      <c r="B924" s="47"/>
      <c r="C924" s="48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46"/>
      <c r="B925" s="47"/>
      <c r="C925" s="4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46"/>
      <c r="B926" s="47"/>
      <c r="C926" s="48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46"/>
      <c r="B927" s="47"/>
      <c r="C927" s="4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46"/>
      <c r="B928" s="47"/>
      <c r="C928" s="48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46"/>
      <c r="B929" s="47"/>
      <c r="C929" s="4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46"/>
      <c r="B930" s="47"/>
      <c r="C930" s="48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46"/>
      <c r="B931" s="47"/>
      <c r="C931" s="4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46"/>
      <c r="B932" s="47"/>
      <c r="C932" s="48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46"/>
      <c r="B933" s="47"/>
      <c r="C933" s="4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46"/>
      <c r="B934" s="47"/>
      <c r="C934" s="48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46"/>
      <c r="B935" s="47"/>
      <c r="C935" s="4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46"/>
      <c r="B936" s="47"/>
      <c r="C936" s="48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46"/>
      <c r="B937" s="47"/>
      <c r="C937" s="4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46"/>
      <c r="B938" s="47"/>
      <c r="C938" s="48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46"/>
      <c r="B939" s="47"/>
      <c r="C939" s="4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46"/>
      <c r="B940" s="47"/>
      <c r="C940" s="48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46"/>
      <c r="B941" s="47"/>
      <c r="C941" s="4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46"/>
      <c r="B942" s="47"/>
      <c r="C942" s="48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46"/>
      <c r="B943" s="47"/>
      <c r="C943" s="4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46"/>
      <c r="B944" s="47"/>
      <c r="C944" s="48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46"/>
      <c r="B945" s="47"/>
      <c r="C945" s="4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46"/>
      <c r="B946" s="47"/>
      <c r="C946" s="48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46"/>
      <c r="B947" s="47"/>
      <c r="C947" s="4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46"/>
      <c r="B948" s="47"/>
      <c r="C948" s="48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46"/>
      <c r="B949" s="47"/>
      <c r="C949" s="4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46"/>
      <c r="B950" s="47"/>
      <c r="C950" s="48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46"/>
      <c r="B951" s="47"/>
      <c r="C951" s="4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46"/>
      <c r="B952" s="47"/>
      <c r="C952" s="48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46"/>
      <c r="B953" s="47"/>
      <c r="C953" s="4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46"/>
      <c r="B954" s="47"/>
      <c r="C954" s="48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46"/>
      <c r="B955" s="47"/>
      <c r="C955" s="4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46"/>
      <c r="B956" s="47"/>
      <c r="C956" s="48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46"/>
      <c r="B957" s="47"/>
      <c r="C957" s="4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46"/>
      <c r="B958" s="47"/>
      <c r="C958" s="48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46"/>
      <c r="B959" s="47"/>
      <c r="C959" s="4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46"/>
      <c r="B960" s="47"/>
      <c r="C960" s="48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46"/>
      <c r="B961" s="47"/>
      <c r="C961" s="4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46"/>
      <c r="B962" s="47"/>
      <c r="C962" s="48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46"/>
      <c r="B963" s="47"/>
      <c r="C963" s="4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46"/>
      <c r="B964" s="47"/>
      <c r="C964" s="48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46"/>
      <c r="B965" s="47"/>
      <c r="C965" s="4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46"/>
      <c r="B966" s="47"/>
      <c r="C966" s="48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46"/>
      <c r="B967" s="47"/>
      <c r="C967" s="4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46"/>
      <c r="B968" s="47"/>
      <c r="C968" s="48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46"/>
      <c r="B969" s="47"/>
      <c r="C969" s="4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46"/>
      <c r="B970" s="47"/>
      <c r="C970" s="48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46"/>
      <c r="B971" s="47"/>
      <c r="C971" s="4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46"/>
      <c r="B972" s="47"/>
      <c r="C972" s="48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46"/>
      <c r="B973" s="47"/>
      <c r="C973" s="4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46"/>
      <c r="B974" s="47"/>
      <c r="C974" s="48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46"/>
      <c r="B975" s="47"/>
      <c r="C975" s="4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46"/>
      <c r="B976" s="47"/>
      <c r="C976" s="48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46"/>
      <c r="B977" s="47"/>
      <c r="C977" s="4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46"/>
      <c r="B978" s="47"/>
      <c r="C978" s="48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46"/>
      <c r="B979" s="47"/>
      <c r="C979" s="4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46"/>
      <c r="B980" s="47"/>
      <c r="C980" s="48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46"/>
      <c r="B981" s="47"/>
      <c r="C981" s="4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46"/>
      <c r="B982" s="47"/>
      <c r="C982" s="48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46"/>
      <c r="B983" s="47"/>
      <c r="C983" s="4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46"/>
      <c r="B984" s="47"/>
      <c r="C984" s="48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46"/>
      <c r="B985" s="47"/>
      <c r="C985" s="4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46"/>
      <c r="B986" s="47"/>
      <c r="C986" s="48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46"/>
      <c r="B987" s="47"/>
      <c r="C987" s="4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46"/>
      <c r="B988" s="47"/>
      <c r="C988" s="48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46"/>
      <c r="B989" s="47"/>
      <c r="C989" s="4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46"/>
      <c r="B990" s="47"/>
      <c r="C990" s="48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46"/>
      <c r="B991" s="47"/>
      <c r="C991" s="4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46"/>
      <c r="B992" s="47"/>
      <c r="C992" s="48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46"/>
      <c r="B993" s="47"/>
      <c r="C993" s="4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46"/>
      <c r="B994" s="47"/>
      <c r="C994" s="48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46"/>
      <c r="B995" s="47"/>
      <c r="C995" s="4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46"/>
      <c r="B996" s="47"/>
      <c r="C996" s="48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46"/>
      <c r="B997" s="47"/>
      <c r="C997" s="4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46"/>
      <c r="B998" s="47"/>
      <c r="C998" s="48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46"/>
      <c r="B999" s="47"/>
      <c r="C999" s="4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46"/>
      <c r="B1000" s="47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46"/>
      <c r="B1001" s="47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46"/>
      <c r="B1002" s="47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46"/>
      <c r="B1003" s="47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46"/>
      <c r="B1004" s="47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>
      <c r="A1005" s="46"/>
      <c r="B1005" s="47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>
      <c r="A1006" s="46"/>
      <c r="B1006" s="47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>
      <c r="A1007" s="46"/>
      <c r="B1007" s="47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>
      <c r="A1008" s="46"/>
      <c r="B1008" s="47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>
      <c r="A1009" s="46"/>
      <c r="B1009" s="47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>
      <c r="A1010" s="46"/>
      <c r="B1010" s="47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>
      <c r="A1011" s="46"/>
      <c r="B1011" s="47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>
      <c r="A1012" s="46"/>
      <c r="B1012" s="47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>
      <c r="A1013" s="46"/>
      <c r="B1013" s="47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>
      <c r="A1014" s="46"/>
      <c r="B1014" s="47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>
      <c r="A1015" s="46"/>
      <c r="B1015" s="47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>
      <c r="A1016" s="46"/>
      <c r="B1016" s="47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>
      <c r="A1017" s="46"/>
      <c r="B1017" s="47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>
      <c r="A1018" s="46"/>
      <c r="B1018" s="47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>
      <c r="A1019" s="46"/>
      <c r="B1019" s="47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>
      <c r="A1020" s="46"/>
      <c r="B1020" s="47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>
      <c r="A1021" s="46"/>
      <c r="B1021" s="47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>
      <c r="A1022" s="46"/>
      <c r="B1022" s="47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>
      <c r="A1023" s="46"/>
      <c r="B1023" s="47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>
      <c r="A1024" s="46"/>
      <c r="B1024" s="47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>
      <c r="A1025" s="46"/>
      <c r="B1025" s="47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>
      <c r="A1026" s="46"/>
      <c r="B1026" s="47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>
      <c r="A1027" s="46"/>
      <c r="B1027" s="47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>
      <c r="A1028" s="46"/>
      <c r="B1028" s="47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>
      <c r="A1029" s="46"/>
      <c r="B1029" s="47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>
      <c r="A1030" s="46"/>
      <c r="B1030" s="47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>
      <c r="A1031" s="46"/>
      <c r="B1031" s="47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>
      <c r="A1032" s="46"/>
      <c r="B1032" s="47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>
      <c r="A1033" s="46"/>
      <c r="B1033" s="47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>
      <c r="A1034" s="46"/>
      <c r="B1034" s="47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>
      <c r="A1035" s="46"/>
      <c r="B1035" s="47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>
      <c r="A1036" s="46"/>
      <c r="B1036" s="47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>
      <c r="A1037" s="46"/>
      <c r="B1037" s="47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>
      <c r="A1038" s="46"/>
      <c r="B1038" s="47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>
      <c r="A1039" s="46"/>
      <c r="B1039" s="47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>
      <c r="A1040" s="46"/>
      <c r="B1040" s="47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>
      <c r="A1041" s="46"/>
      <c r="B1041" s="47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>
      <c r="A1042" s="46"/>
      <c r="B1042" s="47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>
      <c r="A1043" s="46"/>
      <c r="B1043" s="47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>
      <c r="A1044" s="46"/>
      <c r="B1044" s="47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>
      <c r="A1045" s="46"/>
      <c r="B1045" s="47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>
      <c r="A1046" s="46"/>
      <c r="B1046" s="47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>
      <c r="A1047" s="46"/>
      <c r="B1047" s="47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>
      <c r="A1048" s="46"/>
      <c r="B1048" s="47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>
      <c r="A1049" s="46"/>
      <c r="B1049" s="47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>
      <c r="A1050" s="46"/>
      <c r="B1050" s="47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>
      <c r="A1051" s="46"/>
      <c r="B1051" s="47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>
      <c r="A1052" s="46"/>
      <c r="B1052" s="47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>
      <c r="A1053" s="46"/>
      <c r="B1053" s="47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>
      <c r="A1054" s="46"/>
      <c r="B1054" s="47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>
      <c r="A1055" s="46"/>
      <c r="B1055" s="47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>
      <c r="A1056" s="46"/>
      <c r="B1056" s="47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>
      <c r="A1057" s="46"/>
      <c r="B1057" s="47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>
      <c r="A1058" s="46"/>
      <c r="B1058" s="47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>
      <c r="A1059" s="46"/>
      <c r="B1059" s="47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>
      <c r="A1060" s="46"/>
      <c r="B1060" s="47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>
      <c r="A1061" s="46"/>
      <c r="B1061" s="47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>
      <c r="A1062" s="46"/>
      <c r="B1062" s="47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>
      <c r="A1063" s="46"/>
      <c r="B1063" s="47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>
      <c r="A1064" s="46"/>
      <c r="B1064" s="47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>
      <c r="A1065" s="46"/>
      <c r="B1065" s="47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>
      <c r="A1066" s="46"/>
      <c r="B1066" s="47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>
      <c r="A1067" s="46"/>
      <c r="B1067" s="47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>
      <c r="A1068" s="46"/>
      <c r="B1068" s="47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>
      <c r="A1069" s="46"/>
      <c r="B1069" s="47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>
      <c r="A1070" s="46"/>
      <c r="B1070" s="47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>
      <c r="A1071" s="46"/>
      <c r="B1071" s="47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>
      <c r="A1072" s="46"/>
      <c r="B1072" s="47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>
      <c r="A1073" s="46"/>
      <c r="B1073" s="47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>
      <c r="A1074" s="46"/>
      <c r="B1074" s="47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>
      <c r="A1075" s="46"/>
      <c r="B1075" s="47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>
      <c r="A1076" s="46"/>
      <c r="B1076" s="47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>
      <c r="A1077" s="46"/>
      <c r="B1077" s="47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>
      <c r="A1078" s="46"/>
      <c r="B1078" s="47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>
      <c r="A1079" s="46"/>
      <c r="B1079" s="47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>
      <c r="A1080" s="46"/>
      <c r="B1080" s="47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>
      <c r="A1081" s="46"/>
      <c r="B1081" s="47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>
      <c r="A1082" s="46"/>
      <c r="B1082" s="47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>
      <c r="A1083" s="46"/>
      <c r="B1083" s="47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>
      <c r="A1084" s="46"/>
      <c r="B1084" s="47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>
      <c r="A1085" s="46"/>
      <c r="B1085" s="47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>
      <c r="A1086" s="46"/>
      <c r="B1086" s="47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>
      <c r="A1087" s="46"/>
      <c r="B1087" s="47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>
      <c r="A1088" s="46"/>
      <c r="B1088" s="47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>
      <c r="A1089" s="46"/>
      <c r="B1089" s="47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>
      <c r="A1090" s="46"/>
      <c r="B1090" s="47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>
      <c r="A1091" s="46"/>
      <c r="B1091" s="47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>
      <c r="A1092" s="46"/>
      <c r="B1092" s="47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>
      <c r="A1093" s="46"/>
      <c r="B1093" s="47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>
      <c r="A1094" s="46"/>
      <c r="B1094" s="47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>
      <c r="A1095" s="46"/>
      <c r="B1095" s="47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>
      <c r="A1096" s="46"/>
      <c r="B1096" s="47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>
      <c r="A1097" s="46"/>
      <c r="B1097" s="47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>
      <c r="A1098" s="46"/>
      <c r="B1098" s="47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>
      <c r="A1099" s="46"/>
      <c r="B1099" s="47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>
      <c r="A1100" s="46"/>
      <c r="B1100" s="47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>
      <c r="A1101" s="46"/>
      <c r="B1101" s="47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>
      <c r="A1102" s="46"/>
      <c r="B1102" s="47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>
      <c r="A1103" s="46"/>
      <c r="B1103" s="47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>
      <c r="A1104" s="46"/>
      <c r="B1104" s="47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>
      <c r="A1105" s="46"/>
      <c r="B1105" s="47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>
      <c r="A1106" s="46"/>
      <c r="B1106" s="47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>
      <c r="A1107" s="46"/>
      <c r="B1107" s="47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>
      <c r="A1108" s="46"/>
      <c r="B1108" s="47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>
      <c r="A1109" s="46"/>
      <c r="B1109" s="47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>
      <c r="A1110" s="46"/>
      <c r="B1110" s="47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>
      <c r="A1111" s="46"/>
      <c r="B1111" s="47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>
      <c r="A1112" s="46"/>
      <c r="B1112" s="47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>
      <c r="A1113" s="46"/>
      <c r="B1113" s="47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>
      <c r="A1114" s="46"/>
      <c r="B1114" s="47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>
      <c r="A1115" s="46"/>
      <c r="B1115" s="47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>
      <c r="A1116" s="46"/>
      <c r="B1116" s="47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>
      <c r="A1117" s="46"/>
      <c r="B1117" s="47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>
      <c r="A1118" s="46"/>
      <c r="B1118" s="47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>
      <c r="A1119" s="46"/>
      <c r="B1119" s="47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>
      <c r="A1120" s="46"/>
      <c r="B1120" s="47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>
      <c r="A1121" s="46"/>
      <c r="B1121" s="47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>
      <c r="A1122" s="46"/>
      <c r="B1122" s="47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>
      <c r="A1123" s="46"/>
      <c r="B1123" s="47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>
      <c r="A1124" s="46"/>
      <c r="B1124" s="47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>
      <c r="A1125" s="46"/>
      <c r="B1125" s="47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>
      <c r="A1126" s="46"/>
      <c r="B1126" s="47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</row>
    <row r="1127">
      <c r="A1127" s="46"/>
      <c r="B1127" s="47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>
      <c r="A1128" s="46"/>
      <c r="B1128" s="47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>
      <c r="A1129" s="46"/>
      <c r="B1129" s="47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>
      <c r="A1130" s="46"/>
      <c r="B1130" s="47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>
      <c r="A1131" s="46"/>
      <c r="B1131" s="47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>
      <c r="A1132" s="46"/>
      <c r="B1132" s="47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>
      <c r="A1133" s="46"/>
      <c r="B1133" s="47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>
      <c r="A1134" s="46"/>
      <c r="B1134" s="47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>
      <c r="A1135" s="46"/>
      <c r="B1135" s="47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>
      <c r="A1136" s="46"/>
      <c r="B1136" s="47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>
      <c r="A1137" s="46"/>
      <c r="B1137" s="47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>
      <c r="A1138" s="46"/>
      <c r="B1138" s="47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>
      <c r="A1139" s="46"/>
      <c r="B1139" s="47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>
      <c r="A1140" s="46"/>
      <c r="B1140" s="47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>
      <c r="A1141" s="46"/>
      <c r="B1141" s="47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>
      <c r="A1142" s="46"/>
      <c r="B1142" s="47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>
      <c r="A1143" s="46"/>
      <c r="B1143" s="47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>
      <c r="A1144" s="46"/>
      <c r="B1144" s="47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>
      <c r="A1145" s="46"/>
      <c r="B1145" s="47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>
      <c r="A1146" s="46"/>
      <c r="B1146" s="47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</row>
    <row r="1147">
      <c r="A1147" s="46"/>
      <c r="B1147" s="47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>
      <c r="A1148" s="46"/>
      <c r="B1148" s="47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>
      <c r="A1149" s="46"/>
      <c r="B1149" s="47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>
      <c r="A1150" s="46"/>
      <c r="B1150" s="47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>
      <c r="A1151" s="46"/>
      <c r="B1151" s="47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>
      <c r="A1152" s="46"/>
      <c r="B1152" s="47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>
      <c r="A1153" s="46"/>
      <c r="B1153" s="47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>
      <c r="A1154" s="46"/>
      <c r="B1154" s="47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  <c r="O1154" s="49"/>
      <c r="P1154" s="49"/>
      <c r="Q1154" s="49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>
      <c r="A1155" s="46"/>
      <c r="B1155" s="47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>
      <c r="A1156" s="46"/>
      <c r="B1156" s="47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>
      <c r="A1157" s="46"/>
      <c r="B1157" s="47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</row>
    <row r="1158">
      <c r="A1158" s="46"/>
      <c r="B1158" s="47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>
      <c r="A1159" s="46"/>
      <c r="B1159" s="47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  <c r="O1159" s="49"/>
      <c r="P1159" s="49"/>
      <c r="Q1159" s="49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>
      <c r="A1160" s="46"/>
      <c r="B1160" s="47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  <c r="O1160" s="49"/>
      <c r="P1160" s="49"/>
      <c r="Q1160" s="49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>
      <c r="A1161" s="46"/>
      <c r="B1161" s="47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>
      <c r="A1162" s="46"/>
      <c r="B1162" s="47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>
      <c r="A1163" s="46"/>
      <c r="B1163" s="47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  <c r="O1163" s="49"/>
      <c r="P1163" s="49"/>
      <c r="Q1163" s="49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>
      <c r="A1164" s="46"/>
      <c r="B1164" s="47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</row>
    <row r="1165">
      <c r="A1165" s="46"/>
      <c r="B1165" s="47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  <c r="O1165" s="49"/>
      <c r="P1165" s="49"/>
      <c r="Q1165" s="49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>
      <c r="A1166" s="46"/>
      <c r="B1166" s="47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  <c r="O1166" s="49"/>
      <c r="P1166" s="49"/>
      <c r="Q1166" s="49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>
      <c r="A1167" s="46"/>
      <c r="B1167" s="47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  <c r="O1167" s="49"/>
      <c r="P1167" s="49"/>
      <c r="Q1167" s="49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</row>
    <row r="1168">
      <c r="A1168" s="46"/>
      <c r="B1168" s="47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>
      <c r="A1169" s="46"/>
      <c r="B1169" s="47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>
      <c r="A1170" s="46"/>
      <c r="B1170" s="47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49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</row>
    <row r="1171">
      <c r="A1171" s="46"/>
      <c r="B1171" s="47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  <c r="O1171" s="49"/>
      <c r="P1171" s="49"/>
      <c r="Q1171" s="49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>
      <c r="A1172" s="46"/>
      <c r="B1172" s="47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>
      <c r="A1173" s="46"/>
      <c r="B1173" s="47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  <c r="O1173" s="49"/>
      <c r="P1173" s="49"/>
      <c r="Q1173" s="49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</row>
    <row r="1174">
      <c r="A1174" s="46"/>
      <c r="B1174" s="47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>
      <c r="A1175" s="46"/>
      <c r="B1175" s="47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>
      <c r="A1176" s="46"/>
      <c r="B1176" s="47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>
      <c r="A1177" s="46"/>
      <c r="B1177" s="47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  <c r="O1177" s="49"/>
      <c r="P1177" s="49"/>
      <c r="Q1177" s="49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>
      <c r="A1178" s="46"/>
      <c r="B1178" s="47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>
      <c r="A1179" s="46"/>
      <c r="B1179" s="47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  <c r="O1179" s="49"/>
      <c r="P1179" s="49"/>
      <c r="Q1179" s="49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>
      <c r="A1180" s="46"/>
      <c r="B1180" s="47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  <c r="O1180" s="49"/>
      <c r="P1180" s="49"/>
      <c r="Q1180" s="49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>
      <c r="A1181" s="46"/>
      <c r="B1181" s="47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>
      <c r="A1182" s="46"/>
      <c r="B1182" s="47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  <c r="O1182" s="49"/>
      <c r="P1182" s="49"/>
      <c r="Q1182" s="49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>
      <c r="A1183" s="46"/>
      <c r="B1183" s="47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  <c r="O1183" s="49"/>
      <c r="P1183" s="49"/>
      <c r="Q1183" s="49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>
      <c r="A1184" s="46"/>
      <c r="B1184" s="47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>
      <c r="A1185" s="46"/>
      <c r="B1185" s="47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  <c r="O1185" s="49"/>
      <c r="P1185" s="49"/>
      <c r="Q1185" s="49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>
      <c r="A1186" s="46"/>
      <c r="B1186" s="47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49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>
      <c r="A1187" s="46"/>
      <c r="B1187" s="47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  <c r="O1187" s="49"/>
      <c r="P1187" s="49"/>
      <c r="Q1187" s="49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>
      <c r="A1188" s="46"/>
      <c r="B1188" s="47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49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>
      <c r="A1189" s="46"/>
      <c r="B1189" s="47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>
      <c r="A1190" s="46"/>
      <c r="B1190" s="47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49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>
      <c r="A1191" s="46"/>
      <c r="B1191" s="47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  <c r="O1191" s="49"/>
      <c r="P1191" s="49"/>
      <c r="Q1191" s="49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>
      <c r="A1192" s="46"/>
      <c r="B1192" s="47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  <c r="O1192" s="49"/>
      <c r="P1192" s="49"/>
      <c r="Q1192" s="49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>
      <c r="A1193" s="46"/>
      <c r="B1193" s="47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  <c r="O1193" s="49"/>
      <c r="P1193" s="49"/>
      <c r="Q1193" s="49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>
      <c r="A1194" s="46"/>
      <c r="B1194" s="47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  <c r="O1194" s="49"/>
      <c r="P1194" s="49"/>
      <c r="Q1194" s="49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</row>
    <row r="1195">
      <c r="A1195" s="46"/>
      <c r="B1195" s="47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  <c r="O1195" s="49"/>
      <c r="P1195" s="49"/>
      <c r="Q1195" s="49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>
      <c r="A1196" s="46"/>
      <c r="B1196" s="47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  <c r="O1196" s="49"/>
      <c r="P1196" s="49"/>
      <c r="Q1196" s="49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>
      <c r="A1197" s="46"/>
      <c r="B1197" s="47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  <c r="O1197" s="49"/>
      <c r="P1197" s="49"/>
      <c r="Q1197" s="49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>
      <c r="A1198" s="46"/>
      <c r="B1198" s="47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  <c r="O1198" s="49"/>
      <c r="P1198" s="49"/>
      <c r="Q1198" s="49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>
      <c r="A1199" s="46"/>
      <c r="B1199" s="47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  <c r="O1199" s="49"/>
      <c r="P1199" s="49"/>
      <c r="Q1199" s="49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>
      <c r="A1200" s="46"/>
      <c r="B1200" s="47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  <c r="O1200" s="49"/>
      <c r="P1200" s="49"/>
      <c r="Q1200" s="49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</row>
    <row r="1201">
      <c r="A1201" s="46"/>
      <c r="B1201" s="47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  <c r="O1201" s="49"/>
      <c r="P1201" s="49"/>
      <c r="Q1201" s="49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>
      <c r="A1202" s="46"/>
      <c r="B1202" s="47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  <c r="O1202" s="49"/>
      <c r="P1202" s="49"/>
      <c r="Q1202" s="49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</row>
    <row r="1203">
      <c r="A1203" s="46"/>
      <c r="B1203" s="47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  <c r="O1203" s="49"/>
      <c r="P1203" s="49"/>
      <c r="Q1203" s="49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>
      <c r="A1204" s="46"/>
      <c r="B1204" s="47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  <c r="O1204" s="49"/>
      <c r="P1204" s="49"/>
      <c r="Q1204" s="49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>
      <c r="A1205" s="46"/>
      <c r="B1205" s="47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  <c r="O1205" s="49"/>
      <c r="P1205" s="49"/>
      <c r="Q1205" s="49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</row>
    <row r="1206">
      <c r="A1206" s="46"/>
      <c r="B1206" s="47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  <c r="O1206" s="49"/>
      <c r="P1206" s="49"/>
      <c r="Q1206" s="49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>
      <c r="A1207" s="46"/>
      <c r="B1207" s="47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  <c r="O1207" s="49"/>
      <c r="P1207" s="49"/>
      <c r="Q1207" s="49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</sheetData>
  <dataValidations>
    <dataValidation type="custom" allowBlank="1" showDropDown="1" sqref="A2:A663">
      <formula1>OR(NOT(ISERROR(DATEVALUE(A2))), AND(ISNUMBER(A2), LEFT(CELL("format", A2))="D"))</formula1>
    </dataValidation>
    <dataValidation type="custom" allowBlank="1" showDropDown="1" sqref="E2:L663 P2:Q663">
      <formula1>AND(ISNUMBER(E2),(NOT(OR(NOT(ISERROR(DATEVALUE(E2))), AND(ISNUMBER(E2), LEFT(CELL("format", E2))="D")))))</formula1>
    </dataValidation>
    <dataValidation allowBlank="1" showDropDown="1" sqref="C2:D663"/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  <col customWidth="1" min="2" max="2" width="15.13"/>
    <col customWidth="1" min="4" max="4" width="16.88"/>
  </cols>
  <sheetData>
    <row r="1"/>
    <row r="2"/>
    <row r="3"/>
    <row r="4"/>
    <row r="5"/>
    <row r="6">
      <c r="H6" s="10"/>
    </row>
    <row r="7">
      <c r="H7" s="10"/>
    </row>
    <row r="8">
      <c r="H8" s="10"/>
    </row>
    <row r="9">
      <c r="H9" s="10"/>
    </row>
    <row r="10"/>
    <row r="11"/>
    <row r="12"/>
    <row r="13"/>
    <row r="14"/>
    <row r="15"/>
    <row r="16"/>
    <row r="17"/>
    <row r="18"/>
    <row r="19"/>
    <row r="20">
      <c r="H20" s="10"/>
    </row>
    <row r="21">
      <c r="H21" s="10"/>
    </row>
    <row r="22">
      <c r="H22" s="10"/>
    </row>
    <row r="23">
      <c r="H23" s="10"/>
    </row>
    <row r="24"/>
    <row r="25"/>
    <row r="26"/>
    <row r="27"/>
    <row r="28"/>
    <row r="29"/>
    <row r="30"/>
    <row r="31"/>
    <row r="32"/>
    <row r="33"/>
    <row r="34"/>
    <row r="35">
      <c r="H35" s="10"/>
    </row>
    <row r="36"/>
    <row r="37"/>
    <row r="3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  <col customWidth="1" min="2" max="2" width="15.13"/>
    <col customWidth="1" min="4" max="4" width="16.88"/>
  </cols>
  <sheetData>
    <row r="1"/>
    <row r="2"/>
    <row r="3"/>
    <row r="4"/>
    <row r="5"/>
    <row r="6">
      <c r="H6" s="10"/>
      <c r="I6" s="10" t="s">
        <v>129</v>
      </c>
      <c r="K6" s="10" t="s">
        <v>130</v>
      </c>
    </row>
    <row r="7">
      <c r="H7" s="10"/>
      <c r="I7" s="10" t="s">
        <v>58</v>
      </c>
      <c r="J7" s="6">
        <f>C9+C10</f>
        <v>-1720050</v>
      </c>
      <c r="K7" s="10" t="s">
        <v>142</v>
      </c>
      <c r="L7" s="6">
        <f>D17</f>
        <v>2061300</v>
      </c>
    </row>
    <row r="8">
      <c r="H8" s="10"/>
      <c r="I8" s="10" t="s">
        <v>148</v>
      </c>
      <c r="J8" s="6">
        <f>C19</f>
        <v>-10212075</v>
      </c>
      <c r="K8" s="10" t="s">
        <v>150</v>
      </c>
      <c r="L8" s="6">
        <f>D19</f>
        <v>-10212075</v>
      </c>
    </row>
    <row r="9">
      <c r="H9" s="10"/>
      <c r="I9" s="10" t="s">
        <v>153</v>
      </c>
      <c r="J9" s="6">
        <f>C12</f>
        <v>-10500000</v>
      </c>
      <c r="K9" s="10" t="s">
        <v>153</v>
      </c>
      <c r="L9" s="6">
        <f>D12</f>
        <v>-9000000</v>
      </c>
    </row>
    <row r="10">
      <c r="K10" s="10" t="s">
        <v>24</v>
      </c>
      <c r="L10" s="6">
        <f>D8</f>
        <v>19000000</v>
      </c>
    </row>
    <row r="11">
      <c r="K11" s="10" t="s">
        <v>25</v>
      </c>
      <c r="L11" s="6">
        <f>D11</f>
        <v>0</v>
      </c>
    </row>
    <row r="12">
      <c r="K12" s="10" t="s">
        <v>15</v>
      </c>
      <c r="L12" s="6">
        <f>D18</f>
        <v>156634419</v>
      </c>
    </row>
    <row r="13">
      <c r="K13" s="10" t="s">
        <v>169</v>
      </c>
      <c r="L13" s="6">
        <f t="shared" ref="L13:L16" si="1">D13</f>
        <v>0</v>
      </c>
    </row>
    <row r="14">
      <c r="K14" s="10" t="s">
        <v>14</v>
      </c>
      <c r="L14" s="6">
        <f t="shared" si="1"/>
        <v>13500000</v>
      </c>
    </row>
    <row r="15">
      <c r="K15" s="10" t="s">
        <v>174</v>
      </c>
      <c r="L15" s="6">
        <f t="shared" si="1"/>
        <v>1612250</v>
      </c>
    </row>
    <row r="16">
      <c r="K16" s="10" t="s">
        <v>32</v>
      </c>
      <c r="L16" s="6">
        <f t="shared" si="1"/>
        <v>-3000000</v>
      </c>
    </row>
    <row r="17"/>
    <row r="18"/>
    <row r="19"/>
    <row r="20">
      <c r="H20" s="10"/>
      <c r="I20" s="10" t="s">
        <v>129</v>
      </c>
      <c r="K20" s="10" t="s">
        <v>130</v>
      </c>
    </row>
    <row r="21">
      <c r="H21" s="10"/>
      <c r="I21" s="10" t="s">
        <v>181</v>
      </c>
      <c r="J21" s="6">
        <f>9467940+16950510.75</f>
        <v>26418450.75</v>
      </c>
      <c r="K21" s="10" t="s">
        <v>142</v>
      </c>
      <c r="L21" s="6">
        <f>C30</f>
        <v>-1997</v>
      </c>
    </row>
    <row r="22">
      <c r="H22" s="10"/>
      <c r="I22" s="10" t="s">
        <v>58</v>
      </c>
      <c r="J22" s="6">
        <f>C23</f>
        <v>-42393109</v>
      </c>
      <c r="K22" s="10" t="s">
        <v>150</v>
      </c>
      <c r="L22" s="6">
        <f>D32</f>
        <v>0</v>
      </c>
    </row>
    <row r="23">
      <c r="H23" s="10"/>
      <c r="I23" s="10" t="s">
        <v>148</v>
      </c>
      <c r="J23" s="6">
        <f>C32</f>
        <v>-8351652</v>
      </c>
      <c r="K23" s="10" t="s">
        <v>14</v>
      </c>
      <c r="L23" s="6">
        <f>D27</f>
        <v>0</v>
      </c>
    </row>
    <row r="24">
      <c r="K24" s="10" t="s">
        <v>24</v>
      </c>
      <c r="L24" s="6">
        <f>D22</f>
        <v>-3350000</v>
      </c>
    </row>
    <row r="25">
      <c r="K25" s="10" t="s">
        <v>25</v>
      </c>
      <c r="L25" s="6">
        <f>D24</f>
        <v>5195000</v>
      </c>
    </row>
    <row r="26">
      <c r="K26" s="10" t="s">
        <v>169</v>
      </c>
      <c r="L26" s="6">
        <f>D26</f>
        <v>-900000</v>
      </c>
    </row>
    <row r="27">
      <c r="K27" s="10" t="s">
        <v>32</v>
      </c>
      <c r="L27" s="6">
        <f>D29</f>
        <v>8400000</v>
      </c>
    </row>
    <row r="28">
      <c r="K28" s="10" t="s">
        <v>174</v>
      </c>
      <c r="L28" s="6">
        <f>D28</f>
        <v>0</v>
      </c>
    </row>
    <row r="29">
      <c r="K29" s="10" t="s">
        <v>192</v>
      </c>
      <c r="L29" s="6">
        <f>D25</f>
        <v>0</v>
      </c>
    </row>
    <row r="30">
      <c r="K30" s="10" t="s">
        <v>195</v>
      </c>
      <c r="L30" s="6">
        <f>D21</f>
        <v>0</v>
      </c>
    </row>
    <row r="31">
      <c r="J31" s="6">
        <f>SUM(J21:J30)</f>
        <v>-24326310.25</v>
      </c>
      <c r="L31" s="6">
        <f>SUM(L21:L30)</f>
        <v>9343003</v>
      </c>
      <c r="M31" s="6">
        <f>sum(J31:L31)</f>
        <v>-14983307.25</v>
      </c>
    </row>
    <row r="32"/>
    <row r="33"/>
    <row r="34"/>
    <row r="35">
      <c r="H35" s="10"/>
      <c r="I35" s="10" t="s">
        <v>202</v>
      </c>
      <c r="J35" s="10">
        <v>7212.0</v>
      </c>
      <c r="K35" s="6">
        <v>4630794.86</v>
      </c>
    </row>
    <row r="36">
      <c r="J36" s="10">
        <v>79100.0</v>
      </c>
      <c r="K36" s="23">
        <v>1.2816674E7</v>
      </c>
    </row>
    <row r="37">
      <c r="J37" s="10" t="s">
        <v>115</v>
      </c>
      <c r="K37" s="6">
        <f>sum(K35:K36)</f>
        <v>17447468.86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63"/>
    <col customWidth="1" min="2" max="2" width="15.13"/>
    <col customWidth="1" min="4" max="4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2.13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